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cklog-FULL" sheetId="1" state="visible" r:id="rId1"/>
    <sheet xmlns:r="http://schemas.openxmlformats.org/officeDocument/2006/relationships" name="Iter1" sheetId="2" state="visible" r:id="rId2"/>
    <sheet xmlns:r="http://schemas.openxmlformats.org/officeDocument/2006/relationships" name="Iter2" sheetId="3" state="visible" r:id="rId3"/>
    <sheet xmlns:r="http://schemas.openxmlformats.org/officeDocument/2006/relationships" name="Iter3" sheetId="4" state="visible" r:id="rId4"/>
    <sheet xmlns:r="http://schemas.openxmlformats.org/officeDocument/2006/relationships" name="Iter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Verdana"/>
      <color rgb="FF000000"/>
      <sz val="10"/>
      <scheme val="minor"/>
    </font>
    <font>
      <name val="Arial"/>
      <b val="1"/>
      <color rgb="FF000000"/>
      <sz val="14"/>
    </font>
    <font>
      <name val="Arial"/>
      <color rgb="FF000000"/>
      <sz val="10"/>
    </font>
    <font>
      <name val="Arial"/>
      <i val="1"/>
      <color rgb="FFC00000"/>
      <sz val="10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424242"/>
      <sz val="10"/>
    </font>
    <font>
      <name val="Arial"/>
      <color rgb="FF000000"/>
      <sz val="10"/>
      <u val="single"/>
    </font>
    <font>
      <name val="Arial"/>
      <color rgb="FF0000FF"/>
      <sz val="10"/>
      <u val="single"/>
    </font>
  </fonts>
  <fills count="6">
    <fill>
      <patternFill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top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top"/>
    </xf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vertical="top"/>
    </xf>
    <xf numFmtId="0" fontId="7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0" fontId="4" fillId="0" borderId="2" applyAlignment="1" pivotButton="0" quotePrefix="0" xfId="0">
      <alignment vertical="top"/>
    </xf>
    <xf numFmtId="0" fontId="2" fillId="4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8" fillId="0" borderId="2" applyAlignment="1" pivotButton="0" quotePrefix="0" xfId="0">
      <alignment vertical="top"/>
    </xf>
    <xf numFmtId="9" fontId="2" fillId="0" borderId="2" applyAlignment="1" pivotButton="0" quotePrefix="0" xfId="0">
      <alignment vertical="top"/>
    </xf>
    <xf numFmtId="0" fontId="9" fillId="0" borderId="2" applyAlignment="1" pivotButton="0" quotePrefix="0" xfId="0">
      <alignment vertical="top"/>
    </xf>
    <xf numFmtId="0" fontId="4" fillId="5" borderId="2" applyAlignment="1" pivotButton="0" quotePrefix="0" xfId="0">
      <alignment horizontal="center" vertical="top"/>
    </xf>
    <xf numFmtId="0" fontId="2" fillId="5" borderId="2" applyAlignment="1" pivotButton="0" quotePrefix="0" xfId="0">
      <alignment vertical="top"/>
    </xf>
    <xf numFmtId="0" fontId="7" fillId="5" borderId="2" applyAlignment="1" pivotButton="0" quotePrefix="0" xfId="0">
      <alignment vertical="top"/>
    </xf>
    <xf numFmtId="0" fontId="2" fillId="5" borderId="2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left" vertical="top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ngrams.dev/" TargetMode="External" Id="rId1"/><Relationship Type="http://schemas.openxmlformats.org/officeDocument/2006/relationships/hyperlink" Target="https://payos.vn/" TargetMode="External" Id="rId2"/></Relationships>
</file>

<file path=xl/worksheets/sheet1.xml><?xml version="1.0" encoding="utf-8"?>
<worksheet xmlns="http://schemas.openxmlformats.org/spreadsheetml/2006/main">
  <sheetPr>
    <outlinePr summaryRight="0"/>
    <pageSetUpPr/>
  </sheetPr>
  <dimension ref="A1:Z99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1.22" defaultRowHeight="15" customHeight="1"/>
  <cols>
    <col width="3" customWidth="1" style="27" min="1" max="1"/>
    <col width="20.11" customWidth="1" style="27" min="2" max="2"/>
    <col width="19.33" customWidth="1" style="27" min="3" max="3"/>
    <col outlineLevel="1" width="48.89" customWidth="1" style="27" min="4" max="4"/>
    <col width="15" customWidth="1" style="27" min="5" max="5"/>
    <col width="9.220000000000001" customWidth="1" style="27" min="6" max="6"/>
    <col width="5.33" customWidth="1" style="27" min="7" max="7"/>
    <col collapsed="1" width="5.89" customWidth="1" style="27" min="8" max="8"/>
    <col hidden="1" outlineLevel="1" width="44.11" customWidth="1" style="27" min="9" max="9"/>
    <col width="5.67" customWidth="1" style="27" min="10" max="10"/>
    <col outlineLevel="1" width="18.11" customWidth="1" style="27" min="11" max="11"/>
    <col outlineLevel="1" width="9.67" customWidth="1" style="27" min="12" max="13"/>
    <col width="9.44" customWidth="1" style="27" min="14" max="26"/>
  </cols>
  <sheetData>
    <row r="1" ht="18" customHeight="1" s="27">
      <c r="A1" s="26" t="inlineStr">
        <is>
          <t>LOC Evaluation for OrcaXCare (WDP301)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5" customHeight="1" s="27">
      <c r="A2" s="4" t="inlineStr">
        <is>
          <t>OrcaXCare - Full product backlog: MERN healthcare portal (Patient, Doctor, Admin). Covers auth, master data, booking, payments, clinical workflow, pharmacy, and operations.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5" customHeight="1" s="27">
      <c r="A3" s="4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2.75" customHeight="1" s="27">
      <c r="A4" s="5" t="inlineStr">
        <is>
          <t>#</t>
        </is>
      </c>
      <c r="B4" s="6" t="inlineStr">
        <is>
          <t>Screen / Function</t>
        </is>
      </c>
      <c r="C4" s="6" t="inlineStr">
        <is>
          <t>Feature</t>
        </is>
      </c>
      <c r="D4" s="6" t="inlineStr">
        <is>
          <t>Screen/Function Description</t>
        </is>
      </c>
      <c r="E4" s="6" t="inlineStr">
        <is>
          <t>In Charge</t>
        </is>
      </c>
      <c r="F4" s="6" t="inlineStr">
        <is>
          <t>Status</t>
        </is>
      </c>
      <c r="G4" s="7" t="inlineStr">
        <is>
          <t>SRS</t>
        </is>
      </c>
      <c r="H4" s="7" t="inlineStr">
        <is>
          <t>SDS</t>
        </is>
      </c>
      <c r="I4" s="6" t="inlineStr">
        <is>
          <t>Notes</t>
        </is>
      </c>
      <c r="J4" s="8" t="inlineStr">
        <is>
          <t>LOC</t>
        </is>
      </c>
      <c r="K4" s="8" t="inlineStr">
        <is>
          <t>Code Demo Comments</t>
        </is>
      </c>
      <c r="L4" s="8" t="inlineStr">
        <is>
          <t>Complexity</t>
        </is>
      </c>
      <c r="M4" s="8" t="inlineStr">
        <is>
          <t>Quality</t>
        </is>
      </c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2.75" customHeight="1" s="27">
      <c r="A5" s="9">
        <f>ROW()-4</f>
        <v/>
      </c>
      <c r="B5" s="14" t="inlineStr">
        <is>
          <t>Login</t>
        </is>
      </c>
      <c r="C5" s="14" t="inlineStr">
        <is>
          <t>Authentication</t>
        </is>
      </c>
      <c r="D5" s="11" t="inlineStr">
        <is>
          <t>Display email and password fields, remember-me option, links to register and forgot password. Valid credentials redirect to role dashboard; invalid shows inline error without revealing which field failed. Validate credentials; issue JWT/session; load role and permissions. Token stored client-side; protected routes require valid session; locked account returns 403.</t>
        </is>
      </c>
      <c r="E5" s="13" t="inlineStr">
        <is>
          <t>TruongNTCE180140</t>
        </is>
      </c>
      <c r="F5" s="14" t="inlineStr">
        <is>
          <t>To Do</t>
        </is>
      </c>
      <c r="G5" s="13" t="n"/>
      <c r="H5" s="13" t="n"/>
      <c r="I5" s="14" t="n"/>
      <c r="J5" s="15">
        <f>IF(L5="Simple",60,IF(L5="Medium",120,240))*IF(M5="Low",50%,IF(M5="Medium",75%,100%))</f>
        <v/>
      </c>
      <c r="K5" s="13" t="n"/>
      <c r="L5" s="13" t="inlineStr">
        <is>
          <t>Simple</t>
        </is>
      </c>
      <c r="M5" s="13" t="inlineStr">
        <is>
          <t>High</t>
        </is>
      </c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2.75" customHeight="1" s="27">
      <c r="A6" s="9">
        <f>ROW()-4</f>
        <v/>
      </c>
      <c r="B6" s="14" t="inlineStr">
        <is>
          <t>Logout</t>
        </is>
      </c>
      <c r="C6" s="14" t="inlineStr">
        <is>
          <t>Authentication</t>
        </is>
      </c>
      <c r="D6" s="16" t="inlineStr">
        <is>
          <t>Clear session/token and return to public login. After logout, back button cannot access protected pages.</t>
        </is>
      </c>
      <c r="E6" s="13" t="inlineStr">
        <is>
          <t>TruongNTCE180140</t>
        </is>
      </c>
      <c r="F6" s="14" t="inlineStr">
        <is>
          <t>To Do</t>
        </is>
      </c>
      <c r="G6" s="13" t="n"/>
      <c r="H6" s="13" t="n"/>
      <c r="I6" s="14" t="n"/>
      <c r="J6" s="15">
        <f>IF(L6="Simple",60,IF(L6="Medium",120,240))*IF(M6="Low",50%,IF(M6="Medium",75%,100%))</f>
        <v/>
      </c>
      <c r="K6" s="13" t="n"/>
      <c r="L6" s="13" t="inlineStr">
        <is>
          <t>Simple</t>
        </is>
      </c>
      <c r="M6" s="13" t="inlineStr">
        <is>
          <t>High</t>
        </is>
      </c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2.75" customHeight="1" s="27">
      <c r="A7" s="9">
        <f>ROW()-4</f>
        <v/>
      </c>
      <c r="B7" s="14" t="inlineStr">
        <is>
          <t>Register Account (Patient)</t>
        </is>
      </c>
      <c r="C7" s="14" t="inlineStr">
        <is>
          <t>Authentication</t>
        </is>
      </c>
      <c r="D7" s="11" t="inlineStr">
        <is>
          <t>Fields: email, password, confirm password, full name, phone, terms checkbox. Client-side validation before submit; duplicate email shows clear message. Create user with role patient; hash password; trigger verification email. Account created inactive until verified; password never stored plain text.</t>
        </is>
      </c>
      <c r="E7" s="13" t="inlineStr">
        <is>
          <t>TruongNTCE180140</t>
        </is>
      </c>
      <c r="F7" s="14" t="inlineStr">
        <is>
          <t>To Do</t>
        </is>
      </c>
      <c r="G7" s="13" t="n"/>
      <c r="H7" s="13" t="n"/>
      <c r="I7" s="14" t="n"/>
      <c r="J7" s="15">
        <f>IF(L7="Simple",60,IF(L7="Medium",120,240))*IF(M7="Low",50%,IF(M7="Medium",75%,100%))</f>
        <v/>
      </c>
      <c r="K7" s="13" t="n"/>
      <c r="L7" s="13" t="inlineStr">
        <is>
          <t>Simple</t>
        </is>
      </c>
      <c r="M7" s="13" t="inlineStr">
        <is>
          <t>High</t>
        </is>
      </c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2.75" customHeight="1" s="27">
      <c r="A8" s="9">
        <f>ROW()-4</f>
        <v/>
      </c>
      <c r="B8" s="13" t="inlineStr">
        <is>
          <t>Forgot Password</t>
        </is>
      </c>
      <c r="C8" s="13" t="inlineStr">
        <is>
          <t>Authentication</t>
        </is>
      </c>
      <c r="D8" s="13" t="inlineStr">
        <is>
          <t>Enter registered email; show neutral success message. Email sent if account exists; no hint whether email found. Token from email link; new password + confirm; update hash. Expired token shows error; successful reset allows login with new password.</t>
        </is>
      </c>
      <c r="E8" s="13" t="inlineStr">
        <is>
          <t>TruongNTCE180140</t>
        </is>
      </c>
      <c r="F8" s="14" t="inlineStr">
        <is>
          <t>To Do</t>
        </is>
      </c>
      <c r="G8" s="13" t="n"/>
      <c r="H8" s="13" t="n"/>
      <c r="I8" s="13" t="n"/>
      <c r="J8" s="15">
        <f>IF(L8="Simple",60,IF(L8="Medium",120,240))*IF(M8="Low",50%,IF(M8="Medium",75%,100%))</f>
        <v/>
      </c>
      <c r="K8" s="13" t="n"/>
      <c r="L8" s="13" t="inlineStr">
        <is>
          <t>Simple</t>
        </is>
      </c>
      <c r="M8" s="13" t="inlineStr">
        <is>
          <t>High</t>
        </is>
      </c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2.75" customHeight="1" s="27">
      <c r="A9" s="9">
        <f>ROW()-4</f>
        <v/>
      </c>
      <c r="B9" s="13" t="inlineStr">
        <is>
          <t>Verify Email</t>
        </is>
      </c>
      <c r="C9" s="13" t="inlineStr">
        <is>
          <t>Authentication</t>
        </is>
      </c>
      <c r="D9" s="13" t="inlineStr">
        <is>
          <t>Landing page from email link validates token and updates account status. Valid token activates account; invalid/expired shows guidance to resend.</t>
        </is>
      </c>
      <c r="E9" s="13" t="inlineStr">
        <is>
          <t>TruongNTCE180140</t>
        </is>
      </c>
      <c r="F9" s="14" t="inlineStr">
        <is>
          <t>To Do</t>
        </is>
      </c>
      <c r="G9" s="13" t="n"/>
      <c r="H9" s="13" t="n"/>
      <c r="I9" s="13" t="n"/>
      <c r="J9" s="15">
        <f>IF(L9="Simple",60,IF(L9="Medium",120,240))*IF(M9="Low",50%,IF(M9="Medium",75%,100%))</f>
        <v/>
      </c>
      <c r="K9" s="13" t="n"/>
      <c r="L9" s="13" t="inlineStr">
        <is>
          <t>Simple</t>
        </is>
      </c>
      <c r="M9" s="13" t="inlineStr">
        <is>
          <t>High</t>
        </is>
      </c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2.75" customHeight="1" s="27">
      <c r="A10" s="9">
        <f>ROW()-4</f>
        <v/>
      </c>
      <c r="B10" s="13" t="inlineStr">
        <is>
          <t>Resend Verification Email</t>
        </is>
      </c>
      <c r="C10" s="13" t="inlineStr">
        <is>
          <t>Authentication</t>
        </is>
      </c>
      <c r="D10" s="13" t="inlineStr">
        <is>
          <t>Button on login or profile prompts new email with rate limit. Cooldown prevents spam; success message always generic.</t>
        </is>
      </c>
      <c r="E10" s="13" t="inlineStr">
        <is>
          <t>TruongNTCE180140</t>
        </is>
      </c>
      <c r="F10" s="14" t="inlineStr">
        <is>
          <t>To Do</t>
        </is>
      </c>
      <c r="G10" s="13" t="n"/>
      <c r="H10" s="13" t="n"/>
      <c r="I10" s="13" t="n"/>
      <c r="J10" s="15">
        <f>IF(L10="Simple",60,IF(L10="Medium",120,240))*IF(M10="Low",50%,IF(M10="Medium",75%,100%))</f>
        <v/>
      </c>
      <c r="K10" s="13" t="n"/>
      <c r="L10" s="13" t="inlineStr">
        <is>
          <t>Simple</t>
        </is>
      </c>
      <c r="M10" s="13" t="inlineStr">
        <is>
          <t>High</t>
        </is>
      </c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2.75" customHeight="1" s="27">
      <c r="A11" s="9">
        <f>ROW()-4</f>
        <v/>
      </c>
      <c r="B11" s="13" t="inlineStr">
        <is>
          <t>Change Password (logged in)</t>
        </is>
      </c>
      <c r="C11" s="13" t="inlineStr">
        <is>
          <t>Authentication</t>
        </is>
      </c>
      <c r="D11" s="13" t="inlineStr">
        <is>
          <t>Require current password, new password, confirmation. Weak password rejected; success forces re-login or updates session. Verify current password then persist new hash. Wrong current password blocked; audit timestamp updated.</t>
        </is>
      </c>
      <c r="E11" s="13" t="inlineStr">
        <is>
          <t>TruongNTCE180140</t>
        </is>
      </c>
      <c r="F11" s="14" t="inlineStr">
        <is>
          <t>To Do</t>
        </is>
      </c>
      <c r="G11" s="13" t="n"/>
      <c r="H11" s="13" t="n"/>
      <c r="I11" s="13" t="n"/>
      <c r="J11" s="15">
        <f>IF(L11="Simple",60,IF(L11="Medium",120,240))*IF(M11="Low",50%,IF(M11="Medium",75%,100%))</f>
        <v/>
      </c>
      <c r="K11" s="13" t="n"/>
      <c r="L11" s="13" t="inlineStr">
        <is>
          <t>Simple</t>
        </is>
      </c>
      <c r="M11" s="13" t="inlineStr">
        <is>
          <t>High</t>
        </is>
      </c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2.75" customHeight="1" s="27">
      <c r="A12" s="9">
        <f>ROW()-4</f>
        <v/>
      </c>
      <c r="B12" s="13" t="inlineStr">
        <is>
          <t>View Accounts List</t>
        </is>
      </c>
      <c r="C12" s="13" t="inlineStr">
        <is>
          <t>Account Management</t>
        </is>
      </c>
      <c r="D12" s="13" t="inlineStr">
        <is>
          <t>Paginated table with role, status, email, name; search and filters. Search by name or email with debounce. Filter by role and active status works; pagination stable.</t>
        </is>
      </c>
      <c r="E12" s="13" t="inlineStr">
        <is>
          <t>KhoaNNCE181612</t>
        </is>
      </c>
      <c r="F12" s="14" t="inlineStr">
        <is>
          <t>To Do</t>
        </is>
      </c>
      <c r="G12" s="13" t="n"/>
      <c r="H12" s="13" t="n"/>
      <c r="I12" s="13" t="n"/>
      <c r="J12" s="15">
        <f>IF(L12="Simple",60,IF(L12="Medium",120,240))*IF(M12="Low",50%,IF(M12="Medium",75%,100%))</f>
        <v/>
      </c>
      <c r="K12" s="13" t="n"/>
      <c r="L12" s="13" t="inlineStr">
        <is>
          <t>Medium</t>
        </is>
      </c>
      <c r="M12" s="13" t="inlineStr">
        <is>
          <t>High</t>
        </is>
      </c>
      <c r="N12" s="17" t="n"/>
      <c r="O12" s="17" t="inlineStr">
        <is>
          <t>Có filter/sort</t>
        </is>
      </c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2.75" customHeight="1" s="27">
      <c r="A13" s="9">
        <f>ROW()-4</f>
        <v/>
      </c>
      <c r="B13" s="13" t="inlineStr">
        <is>
          <t>View Account Detail</t>
        </is>
      </c>
      <c r="C13" s="13" t="inlineStr">
        <is>
          <t>Account Management</t>
        </is>
      </c>
      <c r="D13" s="13" t="inlineStr">
        <is>
          <t>Show role, status, linked doctor/patient id, last login. Read-only sections match database; broken links show N/A.</t>
        </is>
      </c>
      <c r="E13" s="13" t="inlineStr">
        <is>
          <t>KhoaNNCE181612</t>
        </is>
      </c>
      <c r="F13" s="14" t="inlineStr">
        <is>
          <t>To Do</t>
        </is>
      </c>
      <c r="G13" s="13" t="n"/>
      <c r="H13" s="13" t="n"/>
      <c r="I13" s="13" t="n"/>
      <c r="J13" s="15">
        <f>IF(L13="Simple",60,IF(L13="Medium",120,240))*IF(M13="Low",50%,IF(M13="Medium",75%,100%))</f>
        <v/>
      </c>
      <c r="K13" s="13" t="n"/>
      <c r="L13" s="13" t="inlineStr">
        <is>
          <t>Simple</t>
        </is>
      </c>
      <c r="M13" s="13" t="inlineStr">
        <is>
          <t>High</t>
        </is>
      </c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2.75" customHeight="1" s="27">
      <c r="A14" s="9">
        <f>ROW()-4</f>
        <v/>
      </c>
      <c r="B14" s="13" t="inlineStr">
        <is>
          <t>Create Account (Staff)</t>
        </is>
      </c>
      <c r="C14" s="13" t="inlineStr">
        <is>
          <t>Account Management</t>
        </is>
      </c>
      <c r="D14" s="13" t="inlineStr">
        <is>
          <t>Fields for role, email, name, phone, temporary password policy. Role required; duplicate email blocked on submit. Persist user and role; optional welcome email stub. Doctor role creates link placeholder for doctor profile completion.</t>
        </is>
      </c>
      <c r="E14" s="13" t="inlineStr">
        <is>
          <t>ThangNDCE180608</t>
        </is>
      </c>
      <c r="F14" s="14" t="inlineStr">
        <is>
          <t>To Do</t>
        </is>
      </c>
      <c r="G14" s="13" t="n"/>
      <c r="H14" s="13" t="n"/>
      <c r="I14" s="13" t="n"/>
      <c r="J14" s="15">
        <f>IF(L14="Simple",60,IF(L14="Medium",120,240))*IF(M14="Low",50%,IF(M14="Medium",75%,100%))</f>
        <v/>
      </c>
      <c r="K14" s="13" t="n"/>
      <c r="L14" s="13" t="inlineStr">
        <is>
          <t>Simple</t>
        </is>
      </c>
      <c r="M14" s="13" t="inlineStr">
        <is>
          <t>High</t>
        </is>
      </c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2.75" customHeight="1" s="27">
      <c r="A15" s="9">
        <f>ROW()-4</f>
        <v/>
      </c>
      <c r="B15" s="13" t="inlineStr">
        <is>
          <t>Update Account</t>
        </is>
      </c>
      <c r="C15" s="13" t="inlineStr">
        <is>
          <t>Account Management</t>
        </is>
      </c>
      <c r="D15" s="13" t="inlineStr">
        <is>
          <t>Load existing user; editable contact fields. Email uniqueness enforced; cancel discards changes. Validate and persist; show success toast. Changes visible on next login and account detail.</t>
        </is>
      </c>
      <c r="E15" s="13" t="inlineStr">
        <is>
          <t>ThangDQCE182036</t>
        </is>
      </c>
      <c r="F15" s="14" t="inlineStr">
        <is>
          <t>To Do</t>
        </is>
      </c>
      <c r="G15" s="13" t="n"/>
      <c r="H15" s="13" t="n"/>
      <c r="I15" s="13" t="n"/>
      <c r="J15" s="15">
        <f>IF(L15="Simple",60,IF(L15="Medium",120,240))*IF(M15="Low",50%,IF(M15="Medium",75%,100%))</f>
        <v/>
      </c>
      <c r="K15" s="13" t="n"/>
      <c r="L15" s="13" t="inlineStr">
        <is>
          <t>Simple</t>
        </is>
      </c>
      <c r="M15" s="13" t="inlineStr">
        <is>
          <t>High</t>
        </is>
      </c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9">
        <f>ROW()-4</f>
        <v/>
      </c>
      <c r="B16" s="13" t="inlineStr">
        <is>
          <t>Change User Role
Deactivate / Restore Account</t>
        </is>
      </c>
      <c r="C16" s="13" t="inlineStr">
        <is>
          <t>Account Management</t>
        </is>
      </c>
      <c r="D16" s="13" t="inlineStr">
        <is>
          <t>Dropdown roles: patient, doctor, admin; confirm dialog. Permissions take effect on next request; action logged.
Confirm dialog; set inactive flag. Deactivated user cannot login; data retained. Reactivate inactive user from account detail. Restored user can login if password still valid.</t>
        </is>
      </c>
      <c r="E16" s="13" t="inlineStr">
        <is>
          <t>ThangNDCE180608</t>
        </is>
      </c>
      <c r="F16" s="14" t="inlineStr">
        <is>
          <t>To Do</t>
        </is>
      </c>
      <c r="G16" s="13" t="n"/>
      <c r="H16" s="13" t="n"/>
      <c r="I16" s="13" t="n"/>
      <c r="J16" s="15">
        <f>IF(L16="Simple",60,IF(L16="Medium",120,240))*IF(M16="Low",50%,IF(M16="Medium",75%,100%))</f>
        <v/>
      </c>
      <c r="K16" s="13" t="n"/>
      <c r="L16" s="13" t="inlineStr">
        <is>
          <t>Simple</t>
        </is>
      </c>
      <c r="M16" s="13" t="inlineStr">
        <is>
          <t>High</t>
        </is>
      </c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2.75" customHeight="1" s="27">
      <c r="A17" s="9">
        <f>ROW()-4</f>
        <v/>
      </c>
      <c r="B17" s="13" t="inlineStr">
        <is>
          <t>Create Specialty</t>
        </is>
      </c>
      <c r="C17" s="13" t="inlineStr">
        <is>
          <t>Specialty Management</t>
        </is>
      </c>
      <c r="D17" s="13" t="inlineStr">
        <is>
          <t>Form with name, code, description. Name required unique. Persist specialty master record. Appears in specialty list.</t>
        </is>
      </c>
      <c r="E17" s="13" t="inlineStr">
        <is>
          <t>KhoaNNCE181612</t>
        </is>
      </c>
      <c r="F17" s="14" t="inlineStr">
        <is>
          <t>To Do</t>
        </is>
      </c>
      <c r="G17" s="13" t="n"/>
      <c r="H17" s="13" t="n"/>
      <c r="I17" s="13" t="n"/>
      <c r="J17" s="15">
        <f>IF(L17="Simple",60,IF(L17="Medium",120,240))*IF(M17="Low",50%,IF(M17="Medium",75%,100%))</f>
        <v/>
      </c>
      <c r="K17" s="13" t="n"/>
      <c r="L17" s="13" t="inlineStr">
        <is>
          <t>Simple</t>
        </is>
      </c>
      <c r="M17" s="13" t="inlineStr">
        <is>
          <t>High</t>
        </is>
      </c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2.75" customHeight="1" s="27">
      <c r="A18" s="9">
        <f>ROW()-4</f>
        <v/>
      </c>
      <c r="B18" s="13" t="inlineStr">
        <is>
          <t>View Specialties List</t>
        </is>
      </c>
      <c r="C18" s="13" t="inlineStr">
        <is>
          <t>Master Data</t>
        </is>
      </c>
      <c r="D18" s="13" t="inlineStr">
        <is>
          <t>Table for admin; compact list for filters elsewhere. Active only toggle.</t>
        </is>
      </c>
      <c r="E18" s="13" t="inlineStr">
        <is>
          <t>ThangDQCE182036</t>
        </is>
      </c>
      <c r="F18" s="14" t="inlineStr">
        <is>
          <t>To Do</t>
        </is>
      </c>
      <c r="G18" s="13" t="n"/>
      <c r="H18" s="13" t="n"/>
      <c r="I18" s="13" t="n"/>
      <c r="J18" s="15">
        <f>IF(L18="Simple",60,IF(L18="Medium",120,240))*IF(M18="Low",50%,IF(M18="Medium",75%,100%))</f>
        <v/>
      </c>
      <c r="K18" s="13" t="inlineStr">
        <is>
          <t>Có filter/sort</t>
        </is>
      </c>
      <c r="L18" s="13" t="inlineStr">
        <is>
          <t>Medium</t>
        </is>
      </c>
      <c r="M18" s="13" t="inlineStr">
        <is>
          <t>High</t>
        </is>
      </c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2.75" customHeight="1" s="27">
      <c r="A19" s="9">
        <f>ROW()-4</f>
        <v/>
      </c>
      <c r="B19" s="13" t="inlineStr">
        <is>
          <t>View Specialty Detail</t>
        </is>
      </c>
      <c r="C19" s="13" t="inlineStr">
        <is>
          <t>Specialty Management</t>
        </is>
      </c>
      <c r="D19" s="13" t="inlineStr">
        <is>
          <t>Read-only detail with linked doctors count. Links to doctor list filtered.</t>
        </is>
      </c>
      <c r="E19" s="13" t="inlineStr">
        <is>
          <t>TanhNTCE182341</t>
        </is>
      </c>
      <c r="F19" s="14" t="inlineStr">
        <is>
          <t>To Do</t>
        </is>
      </c>
      <c r="G19" s="13" t="n"/>
      <c r="H19" s="13" t="n"/>
      <c r="I19" s="13" t="n"/>
      <c r="J19" s="15">
        <f>IF(L19="Simple",60,IF(L19="Medium",120,240))*IF(M19="Low",50%,IF(M19="Medium",75%,100%))</f>
        <v/>
      </c>
      <c r="K19" s="13" t="n"/>
      <c r="L19" s="13" t="inlineStr">
        <is>
          <t>Simple</t>
        </is>
      </c>
      <c r="M19" s="13" t="inlineStr">
        <is>
          <t>High</t>
        </is>
      </c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2.75" customHeight="1" s="27">
      <c r="A20" s="9">
        <f>ROW()-4</f>
        <v/>
      </c>
      <c r="B20" s="13" t="inlineStr">
        <is>
          <t>Update Specialty</t>
        </is>
      </c>
      <c r="C20" s="13" t="inlineStr">
        <is>
          <t>Specialty Management</t>
        </is>
      </c>
      <c r="D20" s="13" t="inlineStr">
        <is>
          <t>Load and edit fields. Cancel restores original. Persist updates. List reflects changes.</t>
        </is>
      </c>
      <c r="E20" s="13" t="inlineStr">
        <is>
          <t>ThangNDCE180608</t>
        </is>
      </c>
      <c r="F20" s="14" t="inlineStr">
        <is>
          <t>To Do</t>
        </is>
      </c>
      <c r="G20" s="13" t="n"/>
      <c r="H20" s="13" t="n"/>
      <c r="I20" s="13" t="n"/>
      <c r="J20" s="15">
        <f>IF(L20="Simple",60,IF(L20="Medium",120,240))*IF(M20="Low",50%,IF(M20="Medium",75%,100%))</f>
        <v/>
      </c>
      <c r="K20" s="13" t="n"/>
      <c r="L20" s="13" t="inlineStr">
        <is>
          <t>Simple</t>
        </is>
      </c>
      <c r="M20" s="13" t="inlineStr">
        <is>
          <t>High</t>
        </is>
      </c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2.75" customHeight="1" s="27">
      <c r="A21" s="9">
        <f>ROW()-4</f>
        <v/>
      </c>
      <c r="B21" s="13" t="inlineStr">
        <is>
          <t>Delete Specialty</t>
        </is>
      </c>
      <c r="C21" s="13" t="inlineStr">
        <is>
          <t>Specialty Management</t>
        </is>
      </c>
      <c r="D21" s="13" t="inlineStr">
        <is>
          <t>Soft-delete with guard if doctors linked. Blocked with message if in use.</t>
        </is>
      </c>
      <c r="E21" s="13" t="inlineStr">
        <is>
          <t>KhoaNNCE181612</t>
        </is>
      </c>
      <c r="F21" s="14" t="inlineStr">
        <is>
          <t>To Do</t>
        </is>
      </c>
      <c r="G21" s="13" t="n"/>
      <c r="H21" s="13" t="n"/>
      <c r="I21" s="13" t="n"/>
      <c r="J21" s="15">
        <f>IF(L21="Simple",60,IF(L21="Medium",120,240))*IF(M21="Low",50%,IF(M21="Medium",75%,100%))</f>
        <v/>
      </c>
      <c r="K21" s="13" t="n"/>
      <c r="L21" s="13" t="inlineStr">
        <is>
          <t>Simple</t>
        </is>
      </c>
      <c r="M21" s="13" t="inlineStr">
        <is>
          <t>High</t>
        </is>
      </c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2.75" customHeight="1" s="27">
      <c r="A22" s="9">
        <f>ROW()-4</f>
        <v/>
      </c>
      <c r="B22" s="13" t="inlineStr">
        <is>
          <t>Create Department</t>
        </is>
      </c>
      <c r="C22" s="13" t="inlineStr">
        <is>
          <t>Department Management</t>
        </is>
      </c>
      <c r="D22" s="13" t="inlineStr">
        <is>
          <t>Name, location, phone, status. Required fields validated. Create department record. Visible in department list.</t>
        </is>
      </c>
      <c r="E22" s="13" t="inlineStr">
        <is>
          <t>ThangDQCE182036</t>
        </is>
      </c>
      <c r="F22" s="14" t="inlineStr">
        <is>
          <t>To Do</t>
        </is>
      </c>
      <c r="G22" s="13" t="n"/>
      <c r="H22" s="13" t="n"/>
      <c r="I22" s="13" t="n"/>
      <c r="J22" s="15">
        <f>IF(L22="Simple",60,IF(L22="Medium",120,240))*IF(M22="Low",50%,IF(M22="Medium",75%,100%))</f>
        <v/>
      </c>
      <c r="K22" s="13" t="n"/>
      <c r="L22" s="13" t="inlineStr">
        <is>
          <t>Simple</t>
        </is>
      </c>
      <c r="M22" s="13" t="inlineStr">
        <is>
          <t>High</t>
        </is>
      </c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2.75" customHeight="1" s="27">
      <c r="A23" s="9">
        <f>ROW()-4</f>
        <v/>
      </c>
      <c r="B23" s="13" t="inlineStr">
        <is>
          <t>View Departments List</t>
        </is>
      </c>
      <c r="C23" s="13" t="inlineStr">
        <is>
          <t>Department Management</t>
        </is>
      </c>
      <c r="D23" s="13" t="inlineStr">
        <is>
          <t>Table with doctor count. Sort by name.</t>
        </is>
      </c>
      <c r="E23" s="13" t="inlineStr">
        <is>
          <t>ThangNDCE180608</t>
        </is>
      </c>
      <c r="F23" s="14" t="inlineStr">
        <is>
          <t>To Do</t>
        </is>
      </c>
      <c r="G23" s="13" t="n"/>
      <c r="H23" s="13" t="n"/>
      <c r="I23" s="13" t="n"/>
      <c r="J23" s="15">
        <f>IF(L23="Simple",60,IF(L23="Medium",120,240))*IF(M23="Low",50%,IF(M23="Medium",75%,100%))</f>
        <v/>
      </c>
      <c r="K23" s="13" t="inlineStr">
        <is>
          <t>Có filter/sort</t>
        </is>
      </c>
      <c r="L23" s="13" t="inlineStr">
        <is>
          <t>Medium</t>
        </is>
      </c>
      <c r="M23" s="13" t="inlineStr">
        <is>
          <t>High</t>
        </is>
      </c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2.75" customHeight="1" s="27">
      <c r="A24" s="9">
        <f>ROW()-4</f>
        <v/>
      </c>
      <c r="B24" s="13" t="inlineStr">
        <is>
          <t>View Department Detail</t>
        </is>
      </c>
      <c r="C24" s="13" t="inlineStr">
        <is>
          <t>Department Management</t>
        </is>
      </c>
      <c r="D24" s="13" t="inlineStr">
        <is>
          <t>Detail with rooms and doctors summary. Breadcrumb navigation.</t>
        </is>
      </c>
      <c r="E24" s="13" t="inlineStr">
        <is>
          <t>ThangDQCE182036</t>
        </is>
      </c>
      <c r="F24" s="14" t="inlineStr">
        <is>
          <t>To Do</t>
        </is>
      </c>
      <c r="G24" s="13" t="n"/>
      <c r="H24" s="13" t="n"/>
      <c r="I24" s="13" t="n"/>
      <c r="J24" s="15">
        <f>IF(L24="Simple",60,IF(L24="Medium",120,240))*IF(M24="Low",50%,IF(M24="Medium",75%,100%))</f>
        <v/>
      </c>
      <c r="K24" s="13" t="n"/>
      <c r="L24" s="13" t="inlineStr">
        <is>
          <t>Simple</t>
        </is>
      </c>
      <c r="M24" s="13" t="inlineStr">
        <is>
          <t>High</t>
        </is>
      </c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2.75" customHeight="1" s="27">
      <c r="A25" s="9">
        <f>ROW()-4</f>
        <v/>
      </c>
      <c r="B25" s="13" t="inlineStr">
        <is>
          <t>Update Department</t>
        </is>
      </c>
      <c r="C25" s="13" t="inlineStr">
        <is>
          <t>Department Management</t>
        </is>
      </c>
      <c r="D25" s="13" t="inlineStr">
        <is>
          <t>Edit metadata. Deactivate option. Persist changes. Inactive hidden from patient filters.</t>
        </is>
      </c>
      <c r="E25" s="13" t="inlineStr">
        <is>
          <t>TanhNTCE182341</t>
        </is>
      </c>
      <c r="F25" s="14" t="inlineStr">
        <is>
          <t>To Do</t>
        </is>
      </c>
      <c r="G25" s="13" t="n"/>
      <c r="H25" s="13" t="n"/>
      <c r="I25" s="13" t="n"/>
      <c r="J25" s="15">
        <f>IF(L25="Simple",60,IF(L25="Medium",120,240))*IF(M25="Low",50%,IF(M25="Medium",75%,100%))</f>
        <v/>
      </c>
      <c r="K25" s="13" t="n"/>
      <c r="L25" s="13" t="inlineStr">
        <is>
          <t>Simple</t>
        </is>
      </c>
      <c r="M25" s="13" t="inlineStr">
        <is>
          <t>High</t>
        </is>
      </c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2.75" customHeight="1" s="27">
      <c r="A26" s="9">
        <f>ROW()-4</f>
        <v/>
      </c>
      <c r="B26" s="13" t="inlineStr">
        <is>
          <t>Deactivate Department</t>
        </is>
      </c>
      <c r="C26" s="13" t="inlineStr">
        <is>
          <t>Department Management</t>
        </is>
      </c>
      <c r="D26" s="13" t="inlineStr">
        <is>
          <t>Soft-delete when no critical deps. Warning if doctors assigned.</t>
        </is>
      </c>
      <c r="E26" s="13" t="inlineStr">
        <is>
          <t>TanhNTCE182341</t>
        </is>
      </c>
      <c r="F26" s="14" t="inlineStr">
        <is>
          <t>To Do</t>
        </is>
      </c>
      <c r="G26" s="13" t="n"/>
      <c r="H26" s="13" t="n"/>
      <c r="I26" s="13" t="n"/>
      <c r="J26" s="15">
        <f>IF(L26="Simple",60,IF(L26="Medium",120,240))*IF(M26="Low",50%,IF(M26="Medium",75%,100%))</f>
        <v/>
      </c>
      <c r="K26" s="13" t="n"/>
      <c r="L26" s="13" t="inlineStr">
        <is>
          <t>Simple</t>
        </is>
      </c>
      <c r="M26" s="13" t="inlineStr">
        <is>
          <t>High</t>
        </is>
      </c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2.75" customHeight="1" s="27">
      <c r="A27" s="9">
        <f>ROW()-4</f>
        <v/>
      </c>
      <c r="B27" s="13" t="inlineStr">
        <is>
          <t>Create Clinic Room</t>
        </is>
      </c>
      <c r="C27" s="13" t="inlineStr">
        <is>
          <t>Facility Management</t>
        </is>
      </c>
      <c r="D27" s="13" t="inlineStr">
        <is>
          <t>Room code, department, floor, equipment notes. Department required. Persist room. Shows in room list.</t>
        </is>
      </c>
      <c r="E27" s="13" t="inlineStr">
        <is>
          <t>KhoaNNCE181612</t>
        </is>
      </c>
      <c r="F27" s="14" t="inlineStr">
        <is>
          <t>To Do</t>
        </is>
      </c>
      <c r="G27" s="13" t="n"/>
      <c r="H27" s="13" t="n"/>
      <c r="I27" s="13" t="n"/>
      <c r="J27" s="15">
        <f>IF(L27="Simple",60,IF(L27="Medium",120,240))*IF(M27="Low",50%,IF(M27="Medium",75%,100%))</f>
        <v/>
      </c>
      <c r="K27" s="13" t="n"/>
      <c r="L27" s="13" t="inlineStr">
        <is>
          <t>Simple</t>
        </is>
      </c>
      <c r="M27" s="13" t="inlineStr">
        <is>
          <t>High</t>
        </is>
      </c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2.75" customHeight="1" s="27">
      <c r="A28" s="9">
        <f>ROW()-4</f>
        <v/>
      </c>
      <c r="B28" s="13" t="inlineStr">
        <is>
          <t>View Clinic Rooms List</t>
        </is>
      </c>
      <c r="C28" s="13" t="inlineStr">
        <is>
          <t>Facility Management</t>
        </is>
      </c>
      <c r="D28" s="13" t="inlineStr">
        <is>
          <t>Filter by department. Availability flag column.</t>
        </is>
      </c>
      <c r="E28" s="13" t="inlineStr">
        <is>
          <t>KhoaNNCE181612</t>
        </is>
      </c>
      <c r="F28" s="14" t="inlineStr">
        <is>
          <t>To Do</t>
        </is>
      </c>
      <c r="G28" s="13" t="n"/>
      <c r="H28" s="13" t="n"/>
      <c r="I28" s="13" t="n"/>
      <c r="J28" s="15">
        <f>IF(L28="Simple",60,IF(L28="Medium",120,240))*IF(M28="Low",50%,IF(M28="Medium",75%,100%))</f>
        <v/>
      </c>
      <c r="K28" s="13" t="inlineStr">
        <is>
          <t>Có filter/sort</t>
        </is>
      </c>
      <c r="L28" s="13" t="inlineStr">
        <is>
          <t>Medium</t>
        </is>
      </c>
      <c r="M28" s="13" t="inlineStr">
        <is>
          <t>High</t>
        </is>
      </c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2.75" customHeight="1" s="27">
      <c r="A29" s="9">
        <f>ROW()-4</f>
        <v/>
      </c>
      <c r="B29" s="13" t="inlineStr">
        <is>
          <t>Update Clinic Room</t>
        </is>
      </c>
      <c r="C29" s="13" t="inlineStr">
        <is>
          <t>Facility Management</t>
        </is>
      </c>
      <c r="D29" s="13" t="inlineStr">
        <is>
          <t>Update room attributes. Validation on code unique per dept. Persist. List updated.</t>
        </is>
      </c>
      <c r="E29" s="13" t="inlineStr">
        <is>
          <t>ThangNDCE180608</t>
        </is>
      </c>
      <c r="F29" s="14" t="inlineStr">
        <is>
          <t>To Do</t>
        </is>
      </c>
      <c r="G29" s="13" t="n"/>
      <c r="H29" s="13" t="n"/>
      <c r="I29" s="13" t="n"/>
      <c r="J29" s="15">
        <f>IF(L29="Simple",60,IF(L29="Medium",120,240))*IF(M29="Low",50%,IF(M29="Medium",75%,100%))</f>
        <v/>
      </c>
      <c r="K29" s="13" t="n"/>
      <c r="L29" s="13" t="inlineStr">
        <is>
          <t>Simple</t>
        </is>
      </c>
      <c r="M29" s="13" t="inlineStr">
        <is>
          <t>High</t>
        </is>
      </c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2.75" customHeight="1" s="27">
      <c r="A30" s="9">
        <f>ROW()-4</f>
        <v/>
      </c>
      <c r="B30" s="13" t="inlineStr">
        <is>
          <t>Create Doctor</t>
        </is>
      </c>
      <c r="C30" s="13" t="inlineStr">
        <is>
          <t>Doctor Management</t>
        </is>
      </c>
      <c r="D30" s="13" t="inlineStr">
        <is>
          <t>Personal info, specialty, department, license, bio, photo URL, linked account email. Creates doctor + user; specialty/department dropdowns from master data. Persist doctor profile and link to user account. Doctor active by default; appears in patient search.</t>
        </is>
      </c>
      <c r="E30" s="13" t="inlineStr">
        <is>
          <t>ThangNDCE180608</t>
        </is>
      </c>
      <c r="F30" s="14" t="inlineStr">
        <is>
          <t>To Do</t>
        </is>
      </c>
      <c r="G30" s="13" t="n"/>
      <c r="H30" s="13" t="n"/>
      <c r="I30" s="13" t="n"/>
      <c r="J30" s="15">
        <f>IF(L30="Simple",60,IF(L30="Medium",120,240))*IF(M30="Low",50%,IF(M30="Medium",75%,100%))</f>
        <v/>
      </c>
      <c r="K30" s="13" t="n"/>
      <c r="L30" s="13" t="inlineStr">
        <is>
          <t>Simple</t>
        </is>
      </c>
      <c r="M30" s="13" t="inlineStr">
        <is>
          <t>High</t>
        </is>
      </c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2.75" customHeight="1" s="27">
      <c r="A31" s="9">
        <f>ROW()-4</f>
        <v/>
      </c>
      <c r="B31" s="13" t="inlineStr">
        <is>
          <t>View Doctors List (Admin)</t>
        </is>
      </c>
      <c r="C31" s="13" t="inlineStr">
        <is>
          <t>Doctor Management</t>
        </is>
      </c>
      <c r="D31" s="13" t="inlineStr">
        <is>
          <t>Filters: specialty, department, status, name. Export button visible; pagination works.</t>
        </is>
      </c>
      <c r="E31" s="13" t="inlineStr">
        <is>
          <t>ThangNDCE180608</t>
        </is>
      </c>
      <c r="F31" s="14" t="inlineStr">
        <is>
          <t>To Do</t>
        </is>
      </c>
      <c r="G31" s="13" t="n"/>
      <c r="H31" s="13" t="n"/>
      <c r="I31" s="13" t="n"/>
      <c r="J31" s="15">
        <f>IF(L31="Simple",60,IF(L31="Medium",120,240))*IF(M31="Low",50%,IF(M31="Medium",75%,100%))</f>
        <v/>
      </c>
      <c r="K31" s="13" t="n"/>
      <c r="L31" s="13" t="inlineStr">
        <is>
          <t>Simple</t>
        </is>
      </c>
      <c r="M31" s="13" t="inlineStr">
        <is>
          <t>High</t>
        </is>
      </c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2.75" customHeight="1" s="27">
      <c r="A32" s="9">
        <f>ROW()-4</f>
        <v/>
      </c>
      <c r="B32" s="13" t="inlineStr">
        <is>
          <t>View Doctors List (Patient)</t>
        </is>
      </c>
      <c r="C32" s="13" t="inlineStr">
        <is>
          <t>Doctor Management</t>
        </is>
      </c>
      <c r="D32" s="13" t="inlineStr">
        <is>
          <t>Card/list layout; only active doctors. Inactive doctors never shown.</t>
        </is>
      </c>
      <c r="E32" s="13" t="inlineStr">
        <is>
          <t>ThangDQCE182036</t>
        </is>
      </c>
      <c r="F32" s="14" t="inlineStr">
        <is>
          <t>To Do</t>
        </is>
      </c>
      <c r="G32" s="13" t="n"/>
      <c r="H32" s="13" t="n"/>
      <c r="I32" s="13" t="n"/>
      <c r="J32" s="15">
        <f>IF(L32="Simple",60,IF(L32="Medium",120,240))*IF(M32="Low",50%,IF(M32="Medium",75%,100%))</f>
        <v/>
      </c>
      <c r="K32" s="13" t="n"/>
      <c r="L32" s="13" t="inlineStr">
        <is>
          <t>Simple</t>
        </is>
      </c>
      <c r="M32" s="13" t="inlineStr">
        <is>
          <t>High</t>
        </is>
      </c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2.75" customHeight="1" s="27">
      <c r="A33" s="9">
        <f>ROW()-4</f>
        <v/>
      </c>
      <c r="B33" s="13" t="inlineStr">
        <is>
          <t>View Doctor Detail (Admin)</t>
        </is>
      </c>
      <c r="C33" s="13" t="inlineStr">
        <is>
          <t>Doctor Management</t>
        </is>
      </c>
      <c r="D33" s="13" t="inlineStr">
        <is>
          <t>Full profile, account status, schedule summary placeholder. Edit and deactivate actions available.</t>
        </is>
      </c>
      <c r="E33" s="13" t="inlineStr">
        <is>
          <t>TanhNTCE182341</t>
        </is>
      </c>
      <c r="F33" s="14" t="inlineStr">
        <is>
          <t>To Do</t>
        </is>
      </c>
      <c r="G33" s="13" t="n"/>
      <c r="H33" s="13" t="n"/>
      <c r="I33" s="13" t="n"/>
      <c r="J33" s="15">
        <f>IF(L33="Simple",60,IF(L33="Medium",120,240))*IF(M33="Low",50%,IF(M33="Medium",75%,100%))</f>
        <v/>
      </c>
      <c r="K33" s="13" t="n"/>
      <c r="L33" s="13" t="inlineStr">
        <is>
          <t>Simple</t>
        </is>
      </c>
      <c r="M33" s="13" t="inlineStr">
        <is>
          <t>High</t>
        </is>
      </c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2.75" customHeight="1" s="27">
      <c r="A34" s="9">
        <f>ROW()-4</f>
        <v/>
      </c>
      <c r="B34" s="13" t="inlineStr">
        <is>
          <t>View Doctor Public Profile</t>
        </is>
      </c>
      <c r="C34" s="13" t="inlineStr">
        <is>
          <t>Doctor Management</t>
        </is>
      </c>
      <c r="D34" s="13" t="inlineStr">
        <is>
          <t>Photo, specialty, reviews summary, languages, workplace. Book CTA visible when logged in.</t>
        </is>
      </c>
      <c r="E34" s="13" t="inlineStr">
        <is>
          <t>KhoaNNCE181612</t>
        </is>
      </c>
      <c r="F34" s="14" t="inlineStr">
        <is>
          <t>To Do</t>
        </is>
      </c>
      <c r="G34" s="13" t="n"/>
      <c r="H34" s="13" t="n"/>
      <c r="I34" s="13" t="n"/>
      <c r="J34" s="15">
        <f>IF(L34="Simple",60,IF(L34="Medium",120,240))*IF(M34="Low",50%,IF(M34="Medium",75%,100%))</f>
        <v/>
      </c>
      <c r="K34" s="13" t="n"/>
      <c r="L34" s="13" t="inlineStr">
        <is>
          <t>Simple</t>
        </is>
      </c>
      <c r="M34" s="13" t="inlineStr">
        <is>
          <t>High</t>
        </is>
      </c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2.75" customHeight="1" s="27">
      <c r="A35" s="9">
        <f>ROW()-4</f>
        <v/>
      </c>
      <c r="B35" s="13" t="inlineStr">
        <is>
          <t>Update Doctor</t>
        </is>
      </c>
      <c r="C35" s="13" t="inlineStr">
        <is>
          <t>Doctor Management</t>
        </is>
      </c>
      <c r="D35" s="13" t="inlineStr">
        <is>
          <t>Editable professional fields and status. Cannot break linked account email uniqueness. Persist updates to doctor and optional user fields. Patient search reflects new specialty/department.</t>
        </is>
      </c>
      <c r="E35" s="13" t="inlineStr">
        <is>
          <t>ThangDQCE182036</t>
        </is>
      </c>
      <c r="F35" s="14" t="inlineStr">
        <is>
          <t>To Do</t>
        </is>
      </c>
      <c r="G35" s="13" t="n"/>
      <c r="H35" s="13" t="n"/>
      <c r="I35" s="13" t="n"/>
      <c r="J35" s="15">
        <f>IF(L35="Simple",60,IF(L35="Medium",120,240))*IF(M35="Low",50%,IF(M35="Medium",75%,100%))</f>
        <v/>
      </c>
      <c r="K35" s="13" t="n"/>
      <c r="L35" s="13" t="inlineStr">
        <is>
          <t>Simple</t>
        </is>
      </c>
      <c r="M35" s="13" t="inlineStr">
        <is>
          <t>High</t>
        </is>
      </c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2.75" customHeight="1" s="27">
      <c r="A36" s="9">
        <f>ROW()-4</f>
        <v/>
      </c>
      <c r="B36" s="13" t="inlineStr">
        <is>
          <t>Deactivate Doctor</t>
        </is>
      </c>
      <c r="C36" s="13" t="inlineStr">
        <is>
          <t>Doctor Management</t>
        </is>
      </c>
      <c r="D36" s="13" t="inlineStr">
        <is>
          <t>Confirm dialog; set inactive. Hidden from search; historical appointments kept.</t>
        </is>
      </c>
      <c r="E36" s="13" t="inlineStr">
        <is>
          <t>ThangNDCE180608</t>
        </is>
      </c>
      <c r="F36" s="14" t="inlineStr">
        <is>
          <t>To Do</t>
        </is>
      </c>
      <c r="G36" s="13" t="n"/>
      <c r="H36" s="13" t="n"/>
      <c r="I36" s="13" t="n"/>
      <c r="J36" s="15">
        <f>IF(L36="Simple",60,IF(L36="Medium",120,240))*IF(M36="Low",50%,IF(M36="Medium",75%,100%))</f>
        <v/>
      </c>
      <c r="K36" s="13" t="n"/>
      <c r="L36" s="13" t="inlineStr">
        <is>
          <t>Simple</t>
        </is>
      </c>
      <c r="M36" s="13" t="inlineStr">
        <is>
          <t>High</t>
        </is>
      </c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2.75" customHeight="1" s="27">
      <c r="A37" s="9">
        <f>ROW()-4</f>
        <v/>
      </c>
      <c r="B37" s="13" t="inlineStr">
        <is>
          <t>Import Doctors from Excel</t>
        </is>
      </c>
      <c r="C37" s="13" t="inlineStr">
        <is>
          <t>Doctor Management</t>
        </is>
      </c>
      <c r="D37" s="13" t="inlineStr">
        <is>
          <t>Upload template; row-level validation report. Valid rows created; errors downloadable.</t>
        </is>
      </c>
      <c r="E37" s="13" t="inlineStr">
        <is>
          <t>ThangDQCE182036</t>
        </is>
      </c>
      <c r="F37" s="14" t="inlineStr">
        <is>
          <t>To Do</t>
        </is>
      </c>
      <c r="G37" s="13" t="n"/>
      <c r="H37" s="13" t="n"/>
      <c r="I37" s="13" t="n"/>
      <c r="J37" s="15">
        <f>IF(L37="Simple",60,IF(L37="Medium",120,240))*IF(M37="Low",50%,IF(M37="Medium",75%,100%))</f>
        <v/>
      </c>
      <c r="K37" s="13" t="n"/>
      <c r="L37" s="13" t="inlineStr">
        <is>
          <t>Simple</t>
        </is>
      </c>
      <c r="M37" s="13" t="inlineStr">
        <is>
          <t>High</t>
        </is>
      </c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2.75" customHeight="1" s="27">
      <c r="A38" s="9">
        <f>ROW()-4</f>
        <v/>
      </c>
      <c r="B38" s="13" t="inlineStr">
        <is>
          <t>Export Doctors to Excel</t>
        </is>
      </c>
      <c r="C38" s="13" t="inlineStr">
        <is>
          <t>Doctor Management</t>
        </is>
      </c>
      <c r="D38" s="13" t="inlineStr">
        <is>
          <t>Download xlsx with filters applied. File opens with expected columns.</t>
        </is>
      </c>
      <c r="E38" s="13" t="inlineStr">
        <is>
          <t>ThangDQCE182036</t>
        </is>
      </c>
      <c r="F38" s="14" t="inlineStr">
        <is>
          <t>To Do</t>
        </is>
      </c>
      <c r="G38" s="13" t="n"/>
      <c r="H38" s="13" t="n"/>
      <c r="I38" s="13" t="n"/>
      <c r="J38" s="15">
        <f>IF(L38="Simple",60,IF(L38="Medium",120,240))*IF(M38="Low",50%,IF(M38="Medium",75%,100%))</f>
        <v/>
      </c>
      <c r="K38" s="13" t="n"/>
      <c r="L38" s="13" t="inlineStr">
        <is>
          <t>Simple</t>
        </is>
      </c>
      <c r="M38" s="13" t="inlineStr">
        <is>
          <t>High</t>
        </is>
      </c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2.75" customHeight="1" s="27">
      <c r="A39" s="9">
        <f>ROW()-4</f>
        <v/>
      </c>
      <c r="B39" s="13" t="inlineStr">
        <is>
          <t>Portal Home</t>
        </is>
      </c>
      <c r="C39" s="13" t="inlineStr">
        <is>
          <t>Patient Portal</t>
        </is>
      </c>
      <c r="D39" s="13" t="inlineStr">
        <is>
          <t>Hero, services, featured doctors, news strip, login/register CTAs. Guest sees CTAs; logged-in patient sees personalized shortcuts.</t>
        </is>
      </c>
      <c r="E39" s="13" t="inlineStr">
        <is>
          <t>TanhNTCE182341</t>
        </is>
      </c>
      <c r="F39" s="14" t="inlineStr">
        <is>
          <t>To Do</t>
        </is>
      </c>
      <c r="G39" s="13" t="n"/>
      <c r="H39" s="13" t="n"/>
      <c r="I39" s="13" t="n"/>
      <c r="J39" s="15">
        <f>IF(L39="Simple",60,IF(L39="Medium",120,240))*IF(M39="Low",50%,IF(M39="Medium",75%,100%))</f>
        <v/>
      </c>
      <c r="K39" s="13" t="n"/>
      <c r="L39" s="13" t="inlineStr">
        <is>
          <t>Simple</t>
        </is>
      </c>
      <c r="M39" s="13" t="inlineStr">
        <is>
          <t>High</t>
        </is>
      </c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2.75" customHeight="1" s="27">
      <c r="A40" s="9">
        <f>ROW()-4</f>
        <v/>
      </c>
      <c r="B40" s="13" t="inlineStr">
        <is>
          <t>Featured Doctors</t>
        </is>
      </c>
      <c r="C40" s="13" t="inlineStr">
        <is>
          <t>Patient Portal</t>
        </is>
      </c>
      <c r="D40" s="13" t="inlineStr">
        <is>
          <t>Carousel or grid of top N doctors. Click navigates to public profile.</t>
        </is>
      </c>
      <c r="E40" s="13" t="inlineStr">
        <is>
          <t>KhoaNNCE181612</t>
        </is>
      </c>
      <c r="F40" s="14" t="inlineStr">
        <is>
          <t>To Do</t>
        </is>
      </c>
      <c r="G40" s="13" t="n"/>
      <c r="H40" s="13" t="n"/>
      <c r="I40" s="13" t="n"/>
      <c r="J40" s="15">
        <f>IF(L40="Simple",60,IF(L40="Medium",120,240))*IF(M40="Low",50%,IF(M40="Medium",75%,100%))</f>
        <v/>
      </c>
      <c r="K40" s="13" t="n"/>
      <c r="L40" s="13" t="inlineStr">
        <is>
          <t>Simple</t>
        </is>
      </c>
      <c r="M40" s="13" t="inlineStr">
        <is>
          <t>High</t>
        </is>
      </c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2.75" customHeight="1" s="27">
      <c r="A41" s="9">
        <f>ROW()-4</f>
        <v/>
      </c>
      <c r="B41" s="13" t="inlineStr">
        <is>
          <t>Search Doctors</t>
        </is>
      </c>
      <c r="C41" s="13" t="inlineStr">
        <is>
          <t>Patient Portal</t>
        </is>
      </c>
      <c r="D41" s="13" t="inlineStr">
        <is>
          <t>Search box with partial match and pagination. Empty state when no results. Dropdown/chips from specialty master. Combines with name search. Department filter on search page. Clear filters resets list.</t>
        </is>
      </c>
      <c r="E41" s="13" t="inlineStr">
        <is>
          <t>TruongNTCE180140</t>
        </is>
      </c>
      <c r="F41" s="14" t="inlineStr">
        <is>
          <t>To Do</t>
        </is>
      </c>
      <c r="G41" s="13" t="n"/>
      <c r="H41" s="13" t="n"/>
      <c r="I41" s="13" t="n"/>
      <c r="J41" s="15">
        <f>IF(L41="Simple",60,IF(L41="Medium",120,240))*IF(M41="Low",50%,IF(M41="Medium",75%,100%))</f>
        <v/>
      </c>
      <c r="K41" s="18" t="inlineStr">
        <is>
          <t>Engine Search: NGram, Hidden Markov models for extraction</t>
        </is>
      </c>
      <c r="L41" s="13" t="inlineStr">
        <is>
          <t>Complex</t>
        </is>
      </c>
      <c r="M41" s="13" t="inlineStr">
        <is>
          <t>High</t>
        </is>
      </c>
      <c r="N41" s="17" t="n"/>
      <c r="O41" s="17" t="inlineStr">
        <is>
          <t>SEG301</t>
        </is>
      </c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2.75" customHeight="1" s="27">
      <c r="A42" s="9">
        <f>ROW()-4</f>
        <v/>
      </c>
      <c r="B42" s="13" t="inlineStr">
        <is>
          <t>View Own Profile</t>
        </is>
      </c>
      <c r="C42" s="13" t="inlineStr">
        <is>
          <t>Patient Profile</t>
        </is>
      </c>
      <c r="D42" s="13" t="inlineStr">
        <is>
          <t>Tabs: personal, contact, emergency, avatar. Read-only mode until edit clicked.</t>
        </is>
      </c>
      <c r="E42" s="13" t="inlineStr">
        <is>
          <t>ThangNDCE180608</t>
        </is>
      </c>
      <c r="F42" s="14" t="inlineStr">
        <is>
          <t>To Do</t>
        </is>
      </c>
      <c r="G42" s="13" t="n"/>
      <c r="H42" s="13" t="n"/>
      <c r="I42" s="13" t="n"/>
      <c r="J42" s="15">
        <f>IF(L42="Simple",60,IF(L42="Medium",120,240))*IF(M42="Low",50%,IF(M42="Medium",75%,100%))</f>
        <v/>
      </c>
      <c r="K42" s="13" t="n"/>
      <c r="L42" s="13" t="inlineStr">
        <is>
          <t>Simple</t>
        </is>
      </c>
      <c r="M42" s="13" t="inlineStr">
        <is>
          <t>High</t>
        </is>
      </c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2.75" customHeight="1" s="27">
      <c r="A43" s="9">
        <f>ROW()-4</f>
        <v/>
      </c>
      <c r="B43" s="13" t="inlineStr">
        <is>
          <t>Update Own Profile</t>
        </is>
      </c>
      <c r="C43" s="13" t="inlineStr">
        <is>
          <t>Patient Profile</t>
        </is>
      </c>
      <c r="D43" s="13" t="inlineStr">
        <is>
          <t>Editable allowed fields with validation. Cancel discards; save shows confirmation. PATCH profile for own user only. 403 if editing others; success message shown.</t>
        </is>
      </c>
      <c r="E43" s="13" t="inlineStr">
        <is>
          <t>ThangDQCE182036</t>
        </is>
      </c>
      <c r="F43" s="14" t="inlineStr">
        <is>
          <t>To Do</t>
        </is>
      </c>
      <c r="G43" s="13" t="n"/>
      <c r="H43" s="13" t="n"/>
      <c r="I43" s="13" t="n"/>
      <c r="J43" s="15">
        <f>IF(L43="Simple",60,IF(L43="Medium",120,240))*IF(M43="Low",50%,IF(M43="Medium",75%,100%))</f>
        <v/>
      </c>
      <c r="K43" s="13" t="n"/>
      <c r="L43" s="13" t="inlineStr">
        <is>
          <t>Simple</t>
        </is>
      </c>
      <c r="M43" s="13" t="inlineStr">
        <is>
          <t>High</t>
        </is>
      </c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2.75" customHeight="1" s="27">
      <c r="A44" s="9">
        <f>ROW()-4</f>
        <v/>
      </c>
      <c r="B44" s="13" t="inlineStr">
        <is>
          <t>Upload Profile Avatar</t>
        </is>
      </c>
      <c r="C44" s="13" t="inlineStr">
        <is>
          <t>Patient Profile</t>
        </is>
      </c>
      <c r="D44" s="13" t="inlineStr">
        <is>
          <t>Image picker, crop preview, size/type limits. Avatar updates in header after save.</t>
        </is>
      </c>
      <c r="E44" s="13" t="inlineStr">
        <is>
          <t>KhoaNNCE181612</t>
        </is>
      </c>
      <c r="F44" s="14" t="inlineStr">
        <is>
          <t>To Do</t>
        </is>
      </c>
      <c r="G44" s="13" t="n"/>
      <c r="H44" s="13" t="n"/>
      <c r="I44" s="13" t="n"/>
      <c r="J44" s="15">
        <f>IF(L44="Simple",60,IF(L44="Medium",120,240))*IF(M44="Low",50%,IF(M44="Medium",75%,100%))</f>
        <v/>
      </c>
      <c r="K44" s="13" t="n"/>
      <c r="L44" s="13" t="inlineStr">
        <is>
          <t>Medium</t>
        </is>
      </c>
      <c r="M44" s="13" t="inlineStr">
        <is>
          <t>High</t>
        </is>
      </c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2.75" customHeight="1" s="27">
      <c r="A45" s="9">
        <f>ROW()-4</f>
        <v/>
      </c>
      <c r="B45" s="13" t="inlineStr">
        <is>
          <t>View Patients List (Admin)</t>
        </is>
      </c>
      <c r="C45" s="13" t="inlineStr">
        <is>
          <t>Patient Profile</t>
        </is>
      </c>
      <c r="D45" s="13" t="inlineStr">
        <is>
          <t>Search name/phone; pagination. Click row opens detail.</t>
        </is>
      </c>
      <c r="E45" s="13" t="inlineStr">
        <is>
          <t>TanhNTCE182341</t>
        </is>
      </c>
      <c r="F45" s="14" t="inlineStr">
        <is>
          <t>To Do</t>
        </is>
      </c>
      <c r="G45" s="13" t="n"/>
      <c r="H45" s="13" t="n"/>
      <c r="I45" s="13" t="n"/>
      <c r="J45" s="15">
        <f>IF(L45="Simple",60,IF(L45="Medium",120,240))*IF(M45="Low",50%,IF(M45="Medium",75%,100%))</f>
        <v/>
      </c>
      <c r="K45" s="13" t="inlineStr">
        <is>
          <t>Có filter/sort</t>
        </is>
      </c>
      <c r="L45" s="13" t="inlineStr">
        <is>
          <t>Medium</t>
        </is>
      </c>
      <c r="M45" s="13" t="inlineStr">
        <is>
          <t>High</t>
        </is>
      </c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2.75" customHeight="1" s="27">
      <c r="A46" s="9">
        <f>ROW()-4</f>
        <v/>
      </c>
      <c r="B46" s="13" t="inlineStr">
        <is>
          <t>View Patient Detail (Admin)</t>
        </is>
      </c>
      <c r="C46" s="13" t="inlineStr">
        <is>
          <t>Patient Profile</t>
        </is>
      </c>
      <c r="D46" s="13" t="inlineStr">
        <is>
          <t>Demographics, registration date, linked account. Edit action available.</t>
        </is>
      </c>
      <c r="E46" s="13" t="inlineStr">
        <is>
          <t>KhoaNNCE181612</t>
        </is>
      </c>
      <c r="F46" s="14" t="inlineStr">
        <is>
          <t>To Do</t>
        </is>
      </c>
      <c r="G46" s="13" t="n"/>
      <c r="H46" s="13" t="n"/>
      <c r="I46" s="13" t="n"/>
      <c r="J46" s="15">
        <f>IF(L46="Simple",60,IF(L46="Medium",120,240))*IF(M46="Low",50%,IF(M46="Medium",75%,100%))</f>
        <v/>
      </c>
      <c r="K46" s="13" t="n"/>
      <c r="L46" s="13" t="inlineStr">
        <is>
          <t>Simple</t>
        </is>
      </c>
      <c r="M46" s="13" t="inlineStr">
        <is>
          <t>High</t>
        </is>
      </c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2.75" customHeight="1" s="27">
      <c r="A47" s="9">
        <f>ROW()-4</f>
        <v/>
      </c>
      <c r="B47" s="13" t="inlineStr">
        <is>
          <t>Create Patient (Admin)</t>
        </is>
      </c>
      <c r="C47" s="13" t="inlineStr">
        <is>
          <t>Patient Profile</t>
        </is>
      </c>
      <c r="D47" s="13" t="inlineStr">
        <is>
          <t>Full demographic form; optional link to new account. Required fields enforced. Persist patient; optional user creation. Appears in patient list immediately.</t>
        </is>
      </c>
      <c r="E47" s="13" t="inlineStr">
        <is>
          <t>ThangNDCE180608</t>
        </is>
      </c>
      <c r="F47" s="14" t="inlineStr">
        <is>
          <t>To Do</t>
        </is>
      </c>
      <c r="G47" s="13" t="n"/>
      <c r="H47" s="13" t="n"/>
      <c r="I47" s="13" t="n"/>
      <c r="J47" s="15">
        <f>IF(L47="Simple",60,IF(L47="Medium",120,240))*IF(M47="Low",50%,IF(M47="Medium",75%,100%))</f>
        <v/>
      </c>
      <c r="K47" s="13" t="n"/>
      <c r="L47" s="13" t="inlineStr">
        <is>
          <t>Simple</t>
        </is>
      </c>
      <c r="M47" s="13" t="inlineStr">
        <is>
          <t>High</t>
        </is>
      </c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2.75" customHeight="1" s="27">
      <c r="A48" s="9">
        <f>ROW()-4</f>
        <v/>
      </c>
      <c r="B48" s="13" t="inlineStr">
        <is>
          <t>Update Patient Profile (Admin)</t>
        </is>
      </c>
      <c r="C48" s="13" t="inlineStr">
        <is>
          <t>Patient Profile</t>
        </is>
      </c>
      <c r="D48" s="13" t="inlineStr">
        <is>
          <t>Edit form save with audit optional. Changes visible on patient detail.</t>
        </is>
      </c>
      <c r="E48" s="13" t="inlineStr">
        <is>
          <t>ThangDQCE182036</t>
        </is>
      </c>
      <c r="F48" s="14" t="inlineStr">
        <is>
          <t>To Do</t>
        </is>
      </c>
      <c r="G48" s="13" t="n"/>
      <c r="H48" s="13" t="n"/>
      <c r="I48" s="13" t="n"/>
      <c r="J48" s="15">
        <f>IF(L48="Simple",60,IF(L48="Medium",120,240))*IF(M48="Low",50%,IF(M48="Medium",75%,100%))</f>
        <v/>
      </c>
      <c r="K48" s="13" t="n"/>
      <c r="L48" s="13" t="inlineStr">
        <is>
          <t>Simple</t>
        </is>
      </c>
      <c r="M48" s="13" t="inlineStr">
        <is>
          <t>High</t>
        </is>
      </c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2.75" customHeight="1" s="27">
      <c r="A49" s="9">
        <f>ROW()-4</f>
        <v/>
      </c>
      <c r="B49" s="13" t="inlineStr">
        <is>
          <t>Active/Deactivate Patient</t>
        </is>
      </c>
      <c r="C49" s="13" t="inlineStr">
        <is>
          <t>Patient Profile</t>
        </is>
      </c>
      <c r="D49" s="13" t="inlineStr">
        <is>
          <t>Soft-delete with confirm. Cannot book when inactive.</t>
        </is>
      </c>
      <c r="E49" s="13" t="inlineStr">
        <is>
          <t>TanhNTCE182341</t>
        </is>
      </c>
      <c r="F49" s="14" t="inlineStr">
        <is>
          <t>To Do</t>
        </is>
      </c>
      <c r="G49" s="13" t="n"/>
      <c r="H49" s="13" t="n"/>
      <c r="I49" s="13" t="n"/>
      <c r="J49" s="15">
        <f>IF(L49="Simple",60,IF(L49="Medium",120,240))*IF(M49="Low",50%,IF(M49="Medium",75%,100%))</f>
        <v/>
      </c>
      <c r="K49" s="19" t="n">
        <v>0.5</v>
      </c>
      <c r="L49" s="13" t="inlineStr">
        <is>
          <t>Simple</t>
        </is>
      </c>
      <c r="M49" s="13" t="inlineStr">
        <is>
          <t>High</t>
        </is>
      </c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2.75" customHeight="1" s="27">
      <c r="A50" s="9">
        <f>ROW()-4</f>
        <v/>
      </c>
      <c r="B50" s="13" t="inlineStr">
        <is>
          <t>Create Work Shift</t>
        </is>
      </c>
      <c r="C50" s="13" t="inlineStr">
        <is>
          <t>Scheduling</t>
        </is>
      </c>
      <c r="D50" s="13" t="inlineStr">
        <is>
          <t>Doctor, day, start/end, max patients. No overlapping shifts same doctor. Persist shift template. Used by slot generation.</t>
        </is>
      </c>
      <c r="E50" s="13" t="inlineStr">
        <is>
          <t>TruongNTCE180140</t>
        </is>
      </c>
      <c r="F50" s="14" t="inlineStr">
        <is>
          <t>To Do</t>
        </is>
      </c>
      <c r="G50" s="13" t="n"/>
      <c r="H50" s="13" t="n"/>
      <c r="I50" s="13" t="n"/>
      <c r="J50" s="15">
        <f>IF(L50="Simple",60,IF(L50="Medium",120,240))*IF(M50="Low",50%,IF(M50="Medium",75%,100%))</f>
        <v/>
      </c>
      <c r="K50" s="13" t="n"/>
      <c r="L50" s="13" t="inlineStr">
        <is>
          <t>Simple</t>
        </is>
      </c>
      <c r="M50" s="13" t="inlineStr">
        <is>
          <t>High</t>
        </is>
      </c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2.75" customHeight="1" s="27">
      <c r="A51" s="9">
        <f>ROW()-4</f>
        <v/>
      </c>
      <c r="B51" s="13" t="inlineStr">
        <is>
          <t>Work Shifts List</t>
        </is>
      </c>
      <c r="C51" s="13" t="inlineStr">
        <is>
          <t>Scheduling</t>
        </is>
      </c>
      <c r="D51" s="13" t="inlineStr">
        <is>
          <t>Admin/doctor view weekly pattern. Filter by doctor.</t>
        </is>
      </c>
      <c r="E51" s="13" t="inlineStr">
        <is>
          <t>TruongNTCE180140</t>
        </is>
      </c>
      <c r="F51" s="14" t="inlineStr">
        <is>
          <t>To Do</t>
        </is>
      </c>
      <c r="G51" s="13" t="n"/>
      <c r="H51" s="13" t="n"/>
      <c r="I51" s="13" t="n"/>
      <c r="J51" s="15">
        <f>IF(L51="Simple",60,IF(L51="Medium",120,240))*IF(M51="Low",50%,IF(M51="Medium",75%,100%))</f>
        <v/>
      </c>
      <c r="K51" s="13" t="inlineStr">
        <is>
          <t>Có filter/sort</t>
        </is>
      </c>
      <c r="L51" s="13" t="inlineStr">
        <is>
          <t>Medium</t>
        </is>
      </c>
      <c r="M51" s="13" t="inlineStr">
        <is>
          <t>High</t>
        </is>
      </c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2.75" customHeight="1" s="27">
      <c r="A52" s="9">
        <f>ROW()-4</f>
        <v/>
      </c>
      <c r="B52" s="13" t="inlineStr">
        <is>
          <t>Update Work Shift</t>
        </is>
      </c>
      <c r="C52" s="13" t="inlineStr">
        <is>
          <t>Scheduling</t>
        </is>
      </c>
      <c r="D52" s="13" t="inlineStr">
        <is>
          <t>Adjust hours or capacity. Future slots may regenerate. Persist. Calendar reflects changes.</t>
        </is>
      </c>
      <c r="E52" s="13" t="inlineStr">
        <is>
          <t>TruongNTCE180140</t>
        </is>
      </c>
      <c r="F52" s="14" t="inlineStr">
        <is>
          <t>To Do</t>
        </is>
      </c>
      <c r="G52" s="13" t="n"/>
      <c r="H52" s="13" t="n"/>
      <c r="I52" s="13" t="n"/>
      <c r="J52" s="15">
        <f>IF(L52="Simple",60,IF(L52="Medium",120,240))*IF(M52="Low",50%,IF(M52="Medium",75%,100%))</f>
        <v/>
      </c>
      <c r="K52" s="13" t="n"/>
      <c r="L52" s="13" t="inlineStr">
        <is>
          <t>Simple</t>
        </is>
      </c>
      <c r="M52" s="13" t="inlineStr">
        <is>
          <t>High</t>
        </is>
      </c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2.75" customHeight="1" s="27">
      <c r="A53" s="9">
        <f>ROW()-4</f>
        <v/>
      </c>
      <c r="B53" s="13" t="inlineStr">
        <is>
          <t>Delete Work Shift</t>
        </is>
      </c>
      <c r="C53" s="13" t="inlineStr">
        <is>
          <t>Scheduling</t>
        </is>
      </c>
      <c r="D53" s="13" t="inlineStr">
        <is>
          <t>Delete if no future bookings. Guard with error message.</t>
        </is>
      </c>
      <c r="E53" s="13" t="inlineStr">
        <is>
          <t>TruongNTCE180140</t>
        </is>
      </c>
      <c r="F53" s="14" t="inlineStr">
        <is>
          <t>To Do</t>
        </is>
      </c>
      <c r="G53" s="13" t="n"/>
      <c r="H53" s="13" t="n"/>
      <c r="I53" s="13" t="n"/>
      <c r="J53" s="15">
        <f>IF(L53="Simple",60,IF(L53="Medium",120,240))*IF(M53="Low",50%,IF(M53="Medium",75%,100%))</f>
        <v/>
      </c>
      <c r="K53" s="13" t="n"/>
      <c r="L53" s="13" t="inlineStr">
        <is>
          <t>Simple</t>
        </is>
      </c>
      <c r="M53" s="13" t="inlineStr">
        <is>
          <t>High</t>
        </is>
      </c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2.75" customHeight="1" s="27">
      <c r="A54" s="9">
        <f>ROW()-4</f>
        <v/>
      </c>
      <c r="B54" s="13" t="inlineStr">
        <is>
          <t>Generate Appointment Slots</t>
        </is>
      </c>
      <c r="C54" s="13" t="inlineStr">
        <is>
          <t>Scheduling</t>
        </is>
      </c>
      <c r="D54" s="13" t="inlineStr">
        <is>
          <t>Batch create slots from shifts excluding holidays. No duplicate slot times.</t>
        </is>
      </c>
      <c r="E54" s="13" t="inlineStr">
        <is>
          <t>TruongNTCE180140</t>
        </is>
      </c>
      <c r="F54" s="14" t="inlineStr">
        <is>
          <t>To Do</t>
        </is>
      </c>
      <c r="G54" s="13" t="n"/>
      <c r="H54" s="13" t="n"/>
      <c r="I54" s="13" t="n"/>
      <c r="J54" s="15">
        <f>IF(L54="Simple",60,IF(L54="Medium",120,240))*IF(M54="Low",50%,IF(M54="Medium",75%,100%))</f>
        <v/>
      </c>
      <c r="K54" s="13" t="n"/>
      <c r="L54" s="13" t="inlineStr">
        <is>
          <t>Simple</t>
        </is>
      </c>
      <c r="M54" s="13" t="inlineStr">
        <is>
          <t>High</t>
        </is>
      </c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2.75" customHeight="1" s="27">
      <c r="A55" s="9">
        <f>ROW()-4</f>
        <v/>
      </c>
      <c r="B55" s="13" t="inlineStr">
        <is>
          <t>Doctor Schedule Calendar</t>
        </is>
      </c>
      <c r="C55" s="13" t="inlineStr">
        <is>
          <t>Scheduling</t>
        </is>
      </c>
      <c r="D55" s="13" t="inlineStr">
        <is>
          <t>Week/day grid of slots color-coded available/booked/blocked. Click slot shows detail.</t>
        </is>
      </c>
      <c r="E55" s="13" t="inlineStr">
        <is>
          <t>TruongNTCE180140</t>
        </is>
      </c>
      <c r="F55" s="14" t="inlineStr">
        <is>
          <t>To Do</t>
        </is>
      </c>
      <c r="G55" s="13" t="n"/>
      <c r="H55" s="13" t="n"/>
      <c r="I55" s="13" t="n"/>
      <c r="J55" s="15">
        <f>IF(L55="Simple",60,IF(L55="Medium",120,240))*IF(M55="Low",50%,IF(M55="Medium",75%,100%))</f>
        <v/>
      </c>
      <c r="K55" s="13" t="n"/>
      <c r="L55" s="13" t="inlineStr">
        <is>
          <t>Medium</t>
        </is>
      </c>
      <c r="M55" s="13" t="inlineStr">
        <is>
          <t>High</t>
        </is>
      </c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2.75" customHeight="1" s="27">
      <c r="A56" s="9">
        <f>ROW()-4</f>
        <v/>
      </c>
      <c r="B56" s="13" t="inlineStr">
        <is>
          <t>Block/Unblock Timeslot</t>
        </is>
      </c>
      <c r="C56" s="13" t="inlineStr">
        <is>
          <t>Scheduling</t>
        </is>
      </c>
      <c r="D56" s="13" t="inlineStr">
        <is>
          <t>Mark single slot unavailable. Cannot book blocked slot.</t>
        </is>
      </c>
      <c r="E56" s="13" t="inlineStr">
        <is>
          <t>TruongNTCE180140</t>
        </is>
      </c>
      <c r="F56" s="14" t="inlineStr">
        <is>
          <t>To Do</t>
        </is>
      </c>
      <c r="G56" s="13" t="n"/>
      <c r="H56" s="13" t="n"/>
      <c r="I56" s="13" t="n"/>
      <c r="J56" s="15">
        <f>IF(L56="Simple",60,IF(L56="Medium",120,240))*IF(M56="Low",50%,IF(M56="Medium",75%,100%))</f>
        <v/>
      </c>
      <c r="K56" s="13" t="n"/>
      <c r="L56" s="13" t="inlineStr">
        <is>
          <t>Simple</t>
        </is>
      </c>
      <c r="M56" s="13" t="inlineStr">
        <is>
          <t>High</t>
        </is>
      </c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2.75" customHeight="1" s="27">
      <c r="A57" s="9">
        <f>ROW()-4</f>
        <v/>
      </c>
      <c r="B57" s="13" t="inlineStr">
        <is>
          <t>Book Appointment</t>
        </is>
      </c>
      <c r="C57" s="13" t="inlineStr">
        <is>
          <t>Appointment Booking</t>
        </is>
      </c>
      <c r="D57" s="13" t="inlineStr">
        <is>
          <t>Show specialty list with icons; progress indicator step 1/4. Must select to continue. Doctors filtered by specialty; show next available hint. Doctor card select advances. Calendar/list of available slots for doctor. Unavailable slots disabled. Show doctor, time, fee, insurance discount if any. Edit links return to prior steps. Choose wallet or online payment; confirm dialog. Creates appointment on success. Confirmation number, QR, add to calendar link stub. Email sent stub.
Show error and refresh available slots. No double booking; user can pick another slot.</t>
        </is>
      </c>
      <c r="E57" s="13" t="inlineStr">
        <is>
          <t>ThangNDCE180608</t>
        </is>
      </c>
      <c r="F57" s="14" t="inlineStr">
        <is>
          <t>To Do</t>
        </is>
      </c>
      <c r="G57" s="13" t="n"/>
      <c r="H57" s="13" t="n"/>
      <c r="I57" s="13" t="n"/>
      <c r="J57" s="15">
        <f>IF(L57="Simple",60,IF(L57="Medium",120,240))*IF(M57="Low",50%,IF(M57="Medium",75%,100%))</f>
        <v/>
      </c>
      <c r="K57" s="13" t="n"/>
      <c r="L57" s="13" t="inlineStr">
        <is>
          <t>Medium</t>
        </is>
      </c>
      <c r="M57" s="13" t="inlineStr">
        <is>
          <t>High</t>
        </is>
      </c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2.75" customHeight="1" s="27">
      <c r="A58" s="9">
        <f>ROW()-4</f>
        <v/>
      </c>
      <c r="B58" s="13" t="inlineStr">
        <is>
          <t>My Appointments List</t>
        </is>
      </c>
      <c r="C58" s="13" t="inlineStr">
        <is>
          <t>Appointment Booking</t>
        </is>
      </c>
      <c r="D58" s="13" t="inlineStr">
        <is>
          <t>Tabs: upcoming, past, cancelled; status badges. Sorted by date; empty states per tab.</t>
        </is>
      </c>
      <c r="E58" s="13" t="inlineStr">
        <is>
          <t>KhoaNNCE181612</t>
        </is>
      </c>
      <c r="F58" s="14" t="inlineStr">
        <is>
          <t>To Do</t>
        </is>
      </c>
      <c r="G58" s="13" t="n"/>
      <c r="H58" s="13" t="n"/>
      <c r="I58" s="13" t="n"/>
      <c r="J58" s="15">
        <f>IF(L58="Simple",60,IF(L58="Medium",120,240))*IF(M58="Low",50%,IF(M58="Medium",75%,100%))</f>
        <v/>
      </c>
      <c r="K58" s="13" t="inlineStr">
        <is>
          <t>Có filter/sort</t>
        </is>
      </c>
      <c r="L58" s="13" t="inlineStr">
        <is>
          <t>Medium</t>
        </is>
      </c>
      <c r="M58" s="13" t="inlineStr">
        <is>
          <t>High</t>
        </is>
      </c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2.75" customHeight="1" s="27">
      <c r="A59" s="9">
        <f>ROW()-4</f>
        <v/>
      </c>
      <c r="B59" s="13" t="inlineStr">
        <is>
          <t>Appointment Detail</t>
        </is>
      </c>
      <c r="C59" s="13" t="inlineStr">
        <is>
          <t>Appointment Booking</t>
        </is>
      </c>
      <c r="D59" s="13" t="inlineStr">
        <is>
          <t>Date, doctor, status, payment, QR check-in code. Role-based actions (cancel, start visit).</t>
        </is>
      </c>
      <c r="E59" s="13" t="inlineStr">
        <is>
          <t>KhoaNNCE181612</t>
        </is>
      </c>
      <c r="F59" s="14" t="inlineStr">
        <is>
          <t>To Do</t>
        </is>
      </c>
      <c r="G59" s="13" t="n"/>
      <c r="H59" s="13" t="n"/>
      <c r="I59" s="13" t="n"/>
      <c r="J59" s="15">
        <f>IF(L59="Simple",60,IF(L59="Medium",120,240))*IF(M59="Low",50%,IF(M59="Medium",75%,100%))</f>
        <v/>
      </c>
      <c r="K59" s="13" t="n"/>
      <c r="L59" s="13" t="inlineStr">
        <is>
          <t>Simple</t>
        </is>
      </c>
      <c r="M59" s="13" t="inlineStr">
        <is>
          <t>High</t>
        </is>
      </c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2.75" customHeight="1" s="27">
      <c r="A60" s="9">
        <f>ROW()-4</f>
        <v/>
      </c>
      <c r="B60" s="13" t="inlineStr">
        <is>
          <t>Cancel Appointment</t>
        </is>
      </c>
      <c r="C60" s="13" t="inlineStr">
        <is>
          <t>Appointment Booking</t>
        </is>
      </c>
      <c r="D60" s="13" t="inlineStr">
        <is>
          <t>Show policy text and refund estimate. Confirm required. Update status; trigger refund rules. Cannot cancel after deadline per policy.</t>
        </is>
      </c>
      <c r="E60" s="13" t="inlineStr">
        <is>
          <t>ThangNDCE180608</t>
        </is>
      </c>
      <c r="F60" s="14" t="inlineStr">
        <is>
          <t>To Do</t>
        </is>
      </c>
      <c r="G60" s="13" t="n"/>
      <c r="H60" s="13" t="n"/>
      <c r="I60" s="13" t="n"/>
      <c r="J60" s="15">
        <f>IF(L60="Simple",60,IF(L60="Medium",120,240))*IF(M60="Low",50%,IF(M60="Medium",75%,100%))</f>
        <v/>
      </c>
      <c r="K60" s="13" t="n"/>
      <c r="L60" s="13" t="inlineStr">
        <is>
          <t>Simple</t>
        </is>
      </c>
      <c r="M60" s="13" t="inlineStr">
        <is>
          <t>High</t>
        </is>
      </c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2.75" customHeight="1" s="27">
      <c r="A61" s="9">
        <f>ROW()-4</f>
        <v/>
      </c>
      <c r="B61" s="13" t="inlineStr">
        <is>
          <t>Reschedule Appointment</t>
        </is>
      </c>
      <c r="C61" s="13" t="inlineStr">
        <is>
          <t>Appointment Booking</t>
        </is>
      </c>
      <c r="D61" s="13" t="inlineStr">
        <is>
          <t>Re-enter slot selection with current appointment context. Old slot released only after new confirmed.</t>
        </is>
      </c>
      <c r="E61" s="13" t="inlineStr">
        <is>
          <t>ThangDQCE182036</t>
        </is>
      </c>
      <c r="F61" s="14" t="inlineStr">
        <is>
          <t>To Do</t>
        </is>
      </c>
      <c r="G61" s="13" t="n"/>
      <c r="H61" s="13" t="n"/>
      <c r="I61" s="13" t="n"/>
      <c r="J61" s="15">
        <f>IF(L61="Simple",60,IF(L61="Medium",120,240))*IF(M61="Low",50%,IF(M61="Medium",75%,100%))</f>
        <v/>
      </c>
      <c r="K61" s="13" t="n"/>
      <c r="L61" s="13" t="inlineStr">
        <is>
          <t>Simple</t>
        </is>
      </c>
      <c r="M61" s="13" t="inlineStr">
        <is>
          <t>High</t>
        </is>
      </c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2.75" customHeight="1" s="27">
      <c r="A62" s="9">
        <f>ROW()-4</f>
        <v/>
      </c>
      <c r="B62" s="13" t="inlineStr">
        <is>
          <t>Wallet Dashboard</t>
        </is>
      </c>
      <c r="C62" s="13" t="inlineStr">
        <is>
          <t>Wallet &amp; Payment</t>
        </is>
      </c>
      <c r="D62" s="13" t="inlineStr">
        <is>
          <t>Balance card + shortcut top-up. Balance matches ledger.</t>
        </is>
      </c>
      <c r="E62" s="13" t="inlineStr">
        <is>
          <t>ThangNDCE180608</t>
        </is>
      </c>
      <c r="F62" s="14" t="inlineStr">
        <is>
          <t>To Do</t>
        </is>
      </c>
      <c r="G62" s="13" t="n"/>
      <c r="H62" s="13" t="n"/>
      <c r="I62" s="13" t="n"/>
      <c r="J62" s="15">
        <f>IF(L62="Simple",60,IF(L62="Medium",120,240))*IF(M62="Low",50%,IF(M62="Medium",75%,100%))</f>
        <v/>
      </c>
      <c r="K62" s="13" t="n"/>
      <c r="L62" s="13" t="inlineStr">
        <is>
          <t>Simple</t>
        </is>
      </c>
      <c r="M62" s="13" t="inlineStr">
        <is>
          <t>High</t>
        </is>
      </c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2.75" customHeight="1" s="27">
      <c r="A63" s="9">
        <f>ROW()-4</f>
        <v/>
      </c>
      <c r="B63" s="13" t="inlineStr">
        <is>
          <t>PayOS Payment</t>
        </is>
      </c>
      <c r="C63" s="13" t="inlineStr">
        <is>
          <t>Wallet &amp; Payment</t>
        </is>
      </c>
      <c r="D63" s="13" t="inlineStr">
        <is>
          <t>Enter amount; select payment method. Min/max amount validated. Redirect sandbox; return handler. Balance increases on success. Receipt summary. Balance updated on screen. Reason code message; retry CTA. Balance unchanged.
Deduct at booking confirm. Insufficient balance blocks with CTA top-up.</t>
        </is>
      </c>
      <c r="E63" s="13" t="inlineStr">
        <is>
          <t>TanhNTCE182341</t>
        </is>
      </c>
      <c r="F63" s="14" t="inlineStr">
        <is>
          <t>To Do</t>
        </is>
      </c>
      <c r="G63" s="13" t="n"/>
      <c r="H63" s="13" t="n"/>
      <c r="I63" s="13" t="n"/>
      <c r="J63" s="15">
        <f>IF(L63="Simple",60,IF(L63="Medium",120,240))*IF(M63="Low",50%,IF(M63="Medium",75%,100%))</f>
        <v/>
      </c>
      <c r="K63" s="20" t="inlineStr">
        <is>
          <t>https://payos.vn/</t>
        </is>
      </c>
      <c r="L63" s="13" t="inlineStr">
        <is>
          <t>Medium</t>
        </is>
      </c>
      <c r="M63" s="13" t="inlineStr">
        <is>
          <t>High</t>
        </is>
      </c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2.75" customHeight="1" s="27">
      <c r="A64" s="9">
        <f>ROW()-4</f>
        <v/>
      </c>
      <c r="B64" s="13" t="inlineStr">
        <is>
          <t>Wallet Transaction History</t>
        </is>
      </c>
      <c r="C64" s="13" t="inlineStr">
        <is>
          <t>Wallet &amp; Payment</t>
        </is>
      </c>
      <c r="D64" s="13" t="inlineStr">
        <is>
          <t>List credits/debits with type icons. Newest first. Date range picker. Results match range. Top-up, payment, refund filters. Combinable with date.</t>
        </is>
      </c>
      <c r="E64" s="13" t="inlineStr">
        <is>
          <t>TanhNTCE182341</t>
        </is>
      </c>
      <c r="F64" s="14" t="inlineStr">
        <is>
          <t>To Do</t>
        </is>
      </c>
      <c r="G64" s="13" t="n"/>
      <c r="H64" s="13" t="n"/>
      <c r="I64" s="13" t="n"/>
      <c r="J64" s="15">
        <f>IF(L64="Simple",60,IF(L64="Medium",120,240))*IF(M64="Low",50%,IF(M64="Medium",75%,100%))</f>
        <v/>
      </c>
      <c r="K64" s="13" t="n"/>
      <c r="L64" s="13" t="inlineStr">
        <is>
          <t>Simple</t>
        </is>
      </c>
      <c r="M64" s="13" t="inlineStr">
        <is>
          <t>High</t>
        </is>
      </c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2.75" customHeight="1" s="27">
      <c r="A65" s="9">
        <f>ROW()-4</f>
        <v/>
      </c>
      <c r="B65" s="13" t="inlineStr">
        <is>
          <t>Momo Payment</t>
        </is>
      </c>
      <c r="C65" s="13" t="inlineStr">
        <is>
          <t>Wallet &amp; Payment</t>
        </is>
      </c>
      <c r="D65" s="13" t="inlineStr">
        <is>
          <t>Redirect Momo for booking or top-up. Signature verified on callback. Success UI with reference id. Booking/wallet updated. Failure reason; retry. No state change on fail.</t>
        </is>
      </c>
      <c r="E65" s="13" t="inlineStr">
        <is>
          <t>KhoaNNCE181612</t>
        </is>
      </c>
      <c r="F65" s="14" t="inlineStr">
        <is>
          <t>To Do</t>
        </is>
      </c>
      <c r="G65" s="13" t="n"/>
      <c r="H65" s="13" t="n"/>
      <c r="I65" s="13" t="n"/>
      <c r="J65" s="15">
        <f>IF(L65="Simple",60,IF(L65="Medium",120,240))*IF(M65="Low",50%,IF(M65="Medium",75%,100%))</f>
        <v/>
      </c>
      <c r="K65" s="13" t="n"/>
      <c r="L65" s="13" t="inlineStr">
        <is>
          <t>Medium</t>
        </is>
      </c>
      <c r="M65" s="13" t="inlineStr">
        <is>
          <t>High</t>
        </is>
      </c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2.75" customHeight="1" s="27">
      <c r="A66" s="21">
        <f>ROW()-4</f>
        <v/>
      </c>
      <c r="B66" s="24" t="inlineStr">
        <is>
          <t>Insurance Card List</t>
        </is>
      </c>
      <c r="C66" s="24" t="inlineStr">
        <is>
          <t>Health Insurance</t>
        </is>
      </c>
      <c r="D66" s="24" t="inlineStr">
        <is>
          <t>Patient sees saved policies. Empty state CTA add.</t>
        </is>
      </c>
      <c r="E66" s="24" t="inlineStr">
        <is>
          <t>TruongNTCE180140</t>
        </is>
      </c>
      <c r="F66" s="23" t="inlineStr">
        <is>
          <t>To Do</t>
        </is>
      </c>
      <c r="G66" s="24" t="n"/>
      <c r="H66" s="24" t="n"/>
      <c r="I66" s="24" t="n"/>
      <c r="J66" s="24">
        <f>IF(L66="Simple",60,IF(L66="Medium",120,240))*IF(M66="Low",50%,IF(M66="Medium",75%,100%))</f>
        <v/>
      </c>
      <c r="K66" s="24" t="inlineStr">
        <is>
          <t>Áp dụng quy trình bảo hiểm bảo lãnh. Có thể nâng lên DATN</t>
        </is>
      </c>
      <c r="L66" s="24" t="inlineStr">
        <is>
          <t>Simple</t>
        </is>
      </c>
      <c r="M66" s="24" t="inlineStr">
        <is>
          <t>High</t>
        </is>
      </c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2.75" customHeight="1" s="27">
      <c r="A67" s="9">
        <f>ROW()-4</f>
        <v/>
      </c>
      <c r="B67" s="13" t="inlineStr">
        <is>
          <t>Add Insurance Card</t>
        </is>
      </c>
      <c r="C67" s="13" t="inlineStr">
        <is>
          <t>Health Insurance</t>
        </is>
      </c>
      <c r="D67" s="13" t="inlineStr">
        <is>
          <t>Policy no, dates, coverage %. Validation on dates. Persist card. Used in booking discount.</t>
        </is>
      </c>
      <c r="E67" s="13" t="inlineStr">
        <is>
          <t>KhoaNNCE181612</t>
        </is>
      </c>
      <c r="F67" s="14" t="inlineStr">
        <is>
          <t>To Do</t>
        </is>
      </c>
      <c r="G67" s="13" t="n"/>
      <c r="H67" s="13" t="n"/>
      <c r="I67" s="13" t="n"/>
      <c r="J67" s="15">
        <f>IF(L67="Simple",60,IF(L67="Medium",120,240))*IF(M67="Low",50%,IF(M67="Medium",75%,100%))</f>
        <v/>
      </c>
      <c r="K67" s="13" t="n"/>
      <c r="L67" s="13" t="inlineStr">
        <is>
          <t>Simple</t>
        </is>
      </c>
      <c r="M67" s="13" t="inlineStr">
        <is>
          <t>High</t>
        </is>
      </c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2.75" customHeight="1" s="27">
      <c r="A68" s="9">
        <f>ROW()-4</f>
        <v/>
      </c>
      <c r="B68" s="13" t="inlineStr">
        <is>
          <t>Update Insurance Card</t>
        </is>
      </c>
      <c r="C68" s="13" t="inlineStr">
        <is>
          <t>Health Insurance</t>
        </is>
      </c>
      <c r="D68" s="13" t="inlineStr">
        <is>
          <t>Update fields. Cancel works. Persist. Booking quote uses new %.</t>
        </is>
      </c>
      <c r="E68" s="13" t="inlineStr">
        <is>
          <t>ThangNDCE180608</t>
        </is>
      </c>
      <c r="F68" s="14" t="inlineStr">
        <is>
          <t>To Do</t>
        </is>
      </c>
      <c r="G68" s="13" t="n"/>
      <c r="H68" s="13" t="n"/>
      <c r="I68" s="13" t="n"/>
      <c r="J68" s="15">
        <f>IF(L68="Simple",60,IF(L68="Medium",120,240))*IF(M68="Low",50%,IF(M68="Medium",75%,100%))</f>
        <v/>
      </c>
      <c r="K68" s="13" t="n"/>
      <c r="L68" s="13" t="inlineStr">
        <is>
          <t>Simple</t>
        </is>
      </c>
      <c r="M68" s="13" t="inlineStr">
        <is>
          <t>High</t>
        </is>
      </c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2.75" customHeight="1" s="27">
      <c r="A69" s="9">
        <f>ROW()-4</f>
        <v/>
      </c>
      <c r="B69" s="13" t="inlineStr">
        <is>
          <t>Delete Insurance Card</t>
        </is>
      </c>
      <c r="C69" s="13" t="inlineStr">
        <is>
          <t>Health Insurance</t>
        </is>
      </c>
      <c r="D69" s="13" t="inlineStr">
        <is>
          <t>Confirm delete. No longer offered at booking.</t>
        </is>
      </c>
      <c r="E69" s="13" t="inlineStr">
        <is>
          <t>TanhNTCE182341</t>
        </is>
      </c>
      <c r="F69" s="14" t="inlineStr">
        <is>
          <t>To Do</t>
        </is>
      </c>
      <c r="G69" s="13" t="n"/>
      <c r="H69" s="13" t="n"/>
      <c r="I69" s="13" t="n"/>
      <c r="J69" s="15">
        <f>IF(L69="Simple",60,IF(L69="Medium",120,240))*IF(M69="Low",50%,IF(M69="Medium",75%,100%))</f>
        <v/>
      </c>
      <c r="K69" s="13" t="n"/>
      <c r="L69" s="13" t="inlineStr">
        <is>
          <t>Simple</t>
        </is>
      </c>
      <c r="M69" s="13" t="inlineStr">
        <is>
          <t>High</t>
        </is>
      </c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2.75" customHeight="1" s="27">
      <c r="A70" s="9">
        <f>ROW()-4</f>
        <v/>
      </c>
      <c r="B70" s="13" t="inlineStr">
        <is>
          <t>Insurance Discount on Booking</t>
        </is>
      </c>
      <c r="C70" s="13" t="inlineStr">
        <is>
          <t>Health Insurance</t>
        </is>
      </c>
      <c r="D70" s="13" t="inlineStr">
        <is>
          <t>Line item on booking summary. 0% if expired.</t>
        </is>
      </c>
      <c r="E70" s="13" t="inlineStr">
        <is>
          <t>KhoaNNCE181612</t>
        </is>
      </c>
      <c r="F70" s="14" t="inlineStr">
        <is>
          <t>To Do</t>
        </is>
      </c>
      <c r="G70" s="13" t="n"/>
      <c r="H70" s="13" t="n"/>
      <c r="I70" s="13" t="n"/>
      <c r="J70" s="15">
        <f>IF(L70="Simple",60,IF(L70="Medium",120,240))*IF(M70="Low",50%,IF(M70="Medium",75%,100%))</f>
        <v/>
      </c>
      <c r="K70" s="13" t="n"/>
      <c r="L70" s="13" t="inlineStr">
        <is>
          <t>Simple</t>
        </is>
      </c>
      <c r="M70" s="13" t="inlineStr">
        <is>
          <t>High</t>
        </is>
      </c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2.75" customHeight="1" s="27">
      <c r="A71" s="9">
        <f>ROW()-4</f>
        <v/>
      </c>
      <c r="B71" s="13" t="inlineStr">
        <is>
          <t>Upload Insurance Card Image (OCR)</t>
        </is>
      </c>
      <c r="C71" s="13" t="inlineStr">
        <is>
          <t>Health Insurance</t>
        </is>
      </c>
      <c r="D71" s="13" t="inlineStr">
        <is>
          <t>Upload image; OCR stub fills policy number. Manual override allowed.</t>
        </is>
      </c>
      <c r="E71" s="13" t="inlineStr">
        <is>
          <t>ThangDQCE182036</t>
        </is>
      </c>
      <c r="F71" s="14" t="inlineStr">
        <is>
          <t>To Do</t>
        </is>
      </c>
      <c r="G71" s="13" t="n"/>
      <c r="H71" s="13" t="n"/>
      <c r="I71" s="13" t="n"/>
      <c r="J71" s="15">
        <f>IF(L71="Simple",60,IF(L71="Medium",120,240))*IF(M71="Low",50%,IF(M71="Medium",75%,100%))</f>
        <v/>
      </c>
      <c r="K71" s="13" t="n"/>
      <c r="L71" s="13" t="inlineStr">
        <is>
          <t>Simple</t>
        </is>
      </c>
      <c r="M71" s="13" t="inlineStr">
        <is>
          <t>High</t>
        </is>
      </c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2.75" customHeight="1" s="27">
      <c r="A72" s="9">
        <f>ROW()-4</f>
        <v/>
      </c>
      <c r="B72" s="13" t="inlineStr">
        <is>
          <t>Doctor Dashboard</t>
        </is>
      </c>
      <c r="C72" s="13" t="inlineStr">
        <is>
          <t>Clinical Visit</t>
        </is>
      </c>
      <c r="D72" s="13" t="inlineStr">
        <is>
          <t>Today's appointments count, queue status, shortcuts. Loads after doctor login.</t>
        </is>
      </c>
      <c r="E72" s="13" t="inlineStr">
        <is>
          <t>ThangNDCE180608</t>
        </is>
      </c>
      <c r="F72" s="14" t="inlineStr">
        <is>
          <t>To Do</t>
        </is>
      </c>
      <c r="G72" s="13" t="n"/>
      <c r="H72" s="13" t="n"/>
      <c r="I72" s="13" t="n"/>
      <c r="J72" s="15">
        <f>IF(L72="Simple",60,IF(L72="Medium",120,240))*IF(M72="Low",50%,IF(M72="Medium",75%,100%))</f>
        <v/>
      </c>
      <c r="K72" s="13" t="n"/>
      <c r="L72" s="13" t="inlineStr">
        <is>
          <t>Simple</t>
        </is>
      </c>
      <c r="M72" s="13" t="inlineStr">
        <is>
          <t>High</t>
        </is>
      </c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2.75" customHeight="1" s="27">
      <c r="A73" s="9">
        <f>ROW()-4</f>
        <v/>
      </c>
      <c r="B73" s="13" t="inlineStr">
        <is>
          <t>Today Appointments List</t>
        </is>
      </c>
      <c r="C73" s="13" t="inlineStr">
        <is>
          <t>Clinical Visit</t>
        </is>
      </c>
      <c r="D73" s="13" t="inlineStr">
        <is>
          <t>Filter by status; sort by time. Click opens appointment detail.</t>
        </is>
      </c>
      <c r="E73" s="13" t="inlineStr">
        <is>
          <t>ThangDQCE182036</t>
        </is>
      </c>
      <c r="F73" s="14" t="inlineStr">
        <is>
          <t>To Do</t>
        </is>
      </c>
      <c r="G73" s="13" t="n"/>
      <c r="H73" s="13" t="n"/>
      <c r="I73" s="13" t="n"/>
      <c r="J73" s="15">
        <f>IF(L73="Simple",60,IF(L73="Medium",120,240))*IF(M73="Low",50%,IF(M73="Medium",75%,100%))</f>
        <v/>
      </c>
      <c r="K73" s="13" t="n"/>
      <c r="L73" s="13" t="inlineStr">
        <is>
          <t>Simple</t>
        </is>
      </c>
      <c r="M73" s="13" t="inlineStr">
        <is>
          <t>High</t>
        </is>
      </c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2.75" customHeight="1" s="27">
      <c r="A74" s="9">
        <f>ROW()-4</f>
        <v/>
      </c>
      <c r="B74" s="13" t="inlineStr">
        <is>
          <t>Start Consultation from Appointment</t>
        </is>
      </c>
      <c r="C74" s="13" t="inlineStr">
        <is>
          <t>Clinical Visit</t>
        </is>
      </c>
      <c r="D74" s="13" t="inlineStr">
        <is>
          <t>Button on appointment creates/opens encounter. Only for checked-in appointments.</t>
        </is>
      </c>
      <c r="E74" s="13" t="inlineStr">
        <is>
          <t>TanhNTCE182341</t>
        </is>
      </c>
      <c r="F74" s="14" t="inlineStr">
        <is>
          <t>To Do</t>
        </is>
      </c>
      <c r="G74" s="13" t="n"/>
      <c r="H74" s="13" t="n"/>
      <c r="I74" s="13" t="n"/>
      <c r="J74" s="15">
        <f>IF(L74="Simple",60,IF(L74="Medium",120,240))*IF(M74="Low",50%,IF(M74="Medium",75%,100%))</f>
        <v/>
      </c>
      <c r="K74" s="13" t="n"/>
      <c r="L74" s="13" t="inlineStr">
        <is>
          <t>Simple</t>
        </is>
      </c>
      <c r="M74" s="13" t="inlineStr">
        <is>
          <t>High</t>
        </is>
      </c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2.75" customHeight="1" s="27">
      <c r="A75" s="9">
        <f>ROW()-4</f>
        <v/>
      </c>
      <c r="B75" s="13" t="inlineStr">
        <is>
          <t>Open Queue Session</t>
        </is>
      </c>
      <c r="C75" s="13" t="inlineStr">
        <is>
          <t>Queue Management</t>
        </is>
      </c>
      <c r="D75" s="13" t="inlineStr">
        <is>
          <t>Doctor opens session for department/room. Patients can take tickets.</t>
        </is>
      </c>
      <c r="E75" s="13" t="inlineStr">
        <is>
          <t>TruongNTCE180140</t>
        </is>
      </c>
      <c r="F75" s="14" t="inlineStr">
        <is>
          <t>To Do</t>
        </is>
      </c>
      <c r="G75" s="13" t="n"/>
      <c r="H75" s="13" t="n"/>
      <c r="I75" s="13" t="n"/>
      <c r="J75" s="15">
        <f>IF(L75="Simple",60,IF(L75="Medium",120,240))*IF(M75="Low",50%,IF(M75="Medium",75%,100%))</f>
        <v/>
      </c>
      <c r="K75" s="13" t="n"/>
      <c r="L75" s="13" t="inlineStr">
        <is>
          <t>Simple</t>
        </is>
      </c>
      <c r="M75" s="13" t="inlineStr">
        <is>
          <t>High</t>
        </is>
      </c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2.75" customHeight="1" s="27">
      <c r="A76" s="9">
        <f>ROW()-4</f>
        <v/>
      </c>
      <c r="B76" s="13" t="inlineStr">
        <is>
          <t>Issue Queue Ticket</t>
        </is>
      </c>
      <c r="C76" s="13" t="inlineStr">
        <is>
          <t>Queue Management</t>
        </is>
      </c>
      <c r="D76" s="13" t="inlineStr">
        <is>
          <t>Patient check-in gets ticket no. Ticket tied to appointment.</t>
        </is>
      </c>
      <c r="E76" s="13" t="inlineStr">
        <is>
          <t>TruongNTCE180140</t>
        </is>
      </c>
      <c r="F76" s="14" t="inlineStr">
        <is>
          <t>To Do</t>
        </is>
      </c>
      <c r="G76" s="13" t="n"/>
      <c r="H76" s="13" t="n"/>
      <c r="I76" s="13" t="n"/>
      <c r="J76" s="15">
        <f>IF(L76="Simple",60,IF(L76="Medium",120,240))*IF(M76="Low",50%,IF(M76="Medium",75%,100%))</f>
        <v/>
      </c>
      <c r="K76" s="13" t="n"/>
      <c r="L76" s="13" t="inlineStr">
        <is>
          <t>Simple</t>
        </is>
      </c>
      <c r="M76" s="13" t="inlineStr">
        <is>
          <t>High</t>
        </is>
      </c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2.75" customHeight="1" s="27">
      <c r="A77" s="9">
        <f>ROW()-4</f>
        <v/>
      </c>
      <c r="B77" s="13" t="inlineStr">
        <is>
          <t>View My Queue Status (Patient)</t>
        </is>
      </c>
      <c r="C77" s="13" t="inlineStr">
        <is>
          <t>Queue Management</t>
        </is>
      </c>
      <c r="D77" s="13" t="inlineStr">
        <is>
          <t>Large current number and ahead count. Updates within 3s.</t>
        </is>
      </c>
      <c r="E77" s="13" t="inlineStr">
        <is>
          <t>TruongNTCE180140</t>
        </is>
      </c>
      <c r="F77" s="14" t="inlineStr">
        <is>
          <t>To Do</t>
        </is>
      </c>
      <c r="G77" s="13" t="n"/>
      <c r="H77" s="13" t="n"/>
      <c r="I77" s="13" t="n"/>
      <c r="J77" s="15">
        <f>IF(L77="Simple",60,IF(L77="Medium",120,240))*IF(M77="Low",50%,IF(M77="Medium",75%,100%))</f>
        <v/>
      </c>
      <c r="K77" s="13" t="n"/>
      <c r="L77" s="13" t="inlineStr">
        <is>
          <t>Simple</t>
        </is>
      </c>
      <c r="M77" s="13" t="inlineStr">
        <is>
          <t>High</t>
        </is>
      </c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2.75" customHeight="1" s="27">
      <c r="A78" s="9">
        <f>ROW()-4</f>
        <v/>
      </c>
      <c r="B78" s="13" t="inlineStr">
        <is>
          <t>Call Next Patient</t>
        </is>
      </c>
      <c r="C78" s="13" t="inlineStr">
        <is>
          <t>Queue Management</t>
        </is>
      </c>
      <c r="D78" s="13" t="inlineStr">
        <is>
          <t>Doctor increments queue. Patient screen updates.</t>
        </is>
      </c>
      <c r="E78" s="13" t="inlineStr">
        <is>
          <t>TruongNTCE180140</t>
        </is>
      </c>
      <c r="F78" s="14" t="inlineStr">
        <is>
          <t>To Do</t>
        </is>
      </c>
      <c r="G78" s="13" t="n"/>
      <c r="H78" s="13" t="n"/>
      <c r="I78" s="13" t="n"/>
      <c r="J78" s="15">
        <f>IF(L78="Simple",60,IF(L78="Medium",120,240))*IF(M78="Low",50%,IF(M78="Medium",75%,100%))</f>
        <v/>
      </c>
      <c r="K78" s="13" t="n"/>
      <c r="L78" s="13" t="inlineStr">
        <is>
          <t>Simple</t>
        </is>
      </c>
      <c r="M78" s="13" t="inlineStr">
        <is>
          <t>High</t>
        </is>
      </c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2.75" customHeight="1" s="27">
      <c r="A79" s="9">
        <f>ROW()-4</f>
        <v/>
      </c>
      <c r="B79" s="13" t="inlineStr">
        <is>
          <t>Recall Previous Ticket</t>
        </is>
      </c>
      <c r="C79" s="13" t="inlineStr">
        <is>
          <t>Queue Management</t>
        </is>
      </c>
      <c r="D79" s="13" t="inlineStr">
        <is>
          <t>Optional recall last skipped. Audit log entry.</t>
        </is>
      </c>
      <c r="E79" s="13" t="inlineStr">
        <is>
          <t>TruongNTCE180140</t>
        </is>
      </c>
      <c r="F79" s="14" t="inlineStr">
        <is>
          <t>To Do</t>
        </is>
      </c>
      <c r="G79" s="13" t="n"/>
      <c r="H79" s="13" t="n"/>
      <c r="I79" s="13" t="n"/>
      <c r="J79" s="15">
        <f>IF(L79="Simple",60,IF(L79="Medium",120,240))*IF(M79="Low",50%,IF(M79="Medium",75%,100%))</f>
        <v/>
      </c>
      <c r="K79" s="13" t="n"/>
      <c r="L79" s="13" t="inlineStr">
        <is>
          <t>Simple</t>
        </is>
      </c>
      <c r="M79" s="13" t="inlineStr">
        <is>
          <t>High</t>
        </is>
      </c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2.75" customHeight="1" s="27">
      <c r="A80" s="9">
        <f>ROW()-4</f>
        <v/>
      </c>
      <c r="B80" s="13" t="inlineStr">
        <is>
          <t>Close Queue Session</t>
        </is>
      </c>
      <c r="C80" s="13" t="inlineStr">
        <is>
          <t>Queue Management</t>
        </is>
      </c>
      <c r="D80" s="13" t="inlineStr">
        <is>
          <t>End of clinic session. No new tickets.</t>
        </is>
      </c>
      <c r="E80" s="13" t="inlineStr">
        <is>
          <t>TruongNTCE180140</t>
        </is>
      </c>
      <c r="F80" s="14" t="inlineStr">
        <is>
          <t>To Do</t>
        </is>
      </c>
      <c r="G80" s="13" t="n"/>
      <c r="H80" s="13" t="n"/>
      <c r="I80" s="13" t="n"/>
      <c r="J80" s="15">
        <f>IF(L80="Simple",60,IF(L80="Medium",120,240))*IF(M80="Low",50%,IF(M80="Medium",75%,100%))</f>
        <v/>
      </c>
      <c r="K80" s="13" t="n"/>
      <c r="L80" s="13" t="inlineStr">
        <is>
          <t>Simple</t>
        </is>
      </c>
      <c r="M80" s="13" t="inlineStr">
        <is>
          <t>High</t>
        </is>
      </c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2.75" customHeight="1" s="27">
      <c r="A81" s="9">
        <f>ROW()-4</f>
        <v/>
      </c>
      <c r="B81" s="13" t="inlineStr">
        <is>
          <t>Patient EMR Timeline</t>
        </is>
      </c>
      <c r="C81" s="13" t="inlineStr">
        <is>
          <t>Electronic Medical Record</t>
        </is>
      </c>
      <c r="D81" s="13" t="inlineStr">
        <is>
          <t>Chronological encounters. Filter by date.</t>
        </is>
      </c>
      <c r="E81" s="13" t="inlineStr">
        <is>
          <t>ThangDQCE182036</t>
        </is>
      </c>
      <c r="F81" s="14" t="inlineStr">
        <is>
          <t>To Do</t>
        </is>
      </c>
      <c r="G81" s="13" t="n"/>
      <c r="H81" s="13" t="n"/>
      <c r="I81" s="13" t="n"/>
      <c r="J81" s="15">
        <f>IF(L81="Simple",60,IF(L81="Medium",120,240))*IF(M81="Low",50%,IF(M81="Medium",75%,100%))</f>
        <v/>
      </c>
      <c r="K81" s="13" t="inlineStr">
        <is>
          <t>SocketIO</t>
        </is>
      </c>
      <c r="L81" s="13" t="inlineStr">
        <is>
          <t>Medium</t>
        </is>
      </c>
      <c r="M81" s="13" t="inlineStr">
        <is>
          <t>High</t>
        </is>
      </c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2.75" customHeight="1" s="27">
      <c r="A82" s="9">
        <f>ROW()-4</f>
        <v/>
      </c>
      <c r="B82" s="13" t="inlineStr">
        <is>
          <t>Create Encounter</t>
        </is>
      </c>
      <c r="C82" s="13" t="inlineStr">
        <is>
          <t>Electronic Medical Record</t>
        </is>
      </c>
      <c r="D82" s="13" t="inlineStr">
        <is>
          <t>Vitals, chief complaint, linked appointment. One active encounter per visit. Persist encounter draft. Appears on timeline.</t>
        </is>
      </c>
      <c r="E82" s="13" t="inlineStr">
        <is>
          <t>KhoaNNCE181612</t>
        </is>
      </c>
      <c r="F82" s="14" t="inlineStr">
        <is>
          <t>To Do</t>
        </is>
      </c>
      <c r="G82" s="13" t="n"/>
      <c r="H82" s="13" t="n"/>
      <c r="I82" s="13" t="n"/>
      <c r="J82" s="15">
        <f>IF(L82="Simple",60,IF(L82="Medium",120,240))*IF(M82="Low",50%,IF(M82="Medium",75%,100%))</f>
        <v/>
      </c>
      <c r="K82" s="13" t="n"/>
      <c r="L82" s="13" t="inlineStr">
        <is>
          <t>Simple</t>
        </is>
      </c>
      <c r="M82" s="13" t="inlineStr">
        <is>
          <t>High</t>
        </is>
      </c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2.75" customHeight="1" s="27">
      <c r="A83" s="9">
        <f>ROW()-4</f>
        <v/>
      </c>
      <c r="B83" s="13" t="inlineStr">
        <is>
          <t>Encounter Detail</t>
        </is>
      </c>
      <c r="C83" s="13" t="inlineStr">
        <is>
          <t>Electronic Medical Record</t>
        </is>
      </c>
      <c r="D83" s="13" t="inlineStr">
        <is>
          <t>Read diagnoses, notes, prescriptions summary. Role-based access.</t>
        </is>
      </c>
      <c r="E83" s="13" t="inlineStr">
        <is>
          <t>TanhNTCE182341</t>
        </is>
      </c>
      <c r="F83" s="14" t="inlineStr">
        <is>
          <t>To Do</t>
        </is>
      </c>
      <c r="G83" s="13" t="n"/>
      <c r="H83" s="13" t="n"/>
      <c r="I83" s="13" t="n"/>
      <c r="J83" s="15">
        <f>IF(L83="Simple",60,IF(L83="Medium",120,240))*IF(M83="Low",50%,IF(M83="Medium",75%,100%))</f>
        <v/>
      </c>
      <c r="K83" s="13" t="n"/>
      <c r="L83" s="13" t="inlineStr">
        <is>
          <t>Simple</t>
        </is>
      </c>
      <c r="M83" s="13" t="inlineStr">
        <is>
          <t>High</t>
        </is>
      </c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2.75" customHeight="1" s="27">
      <c r="A84" s="9">
        <f>ROW()-4</f>
        <v/>
      </c>
      <c r="B84" s="13" t="inlineStr">
        <is>
          <t>Update Encounter</t>
        </is>
      </c>
      <c r="C84" s="13" t="inlineStr">
        <is>
          <t>Electronic Medical Record</t>
        </is>
      </c>
      <c r="D84" s="13" t="inlineStr">
        <is>
          <t>Free text clinical notes. Autosave optional. Persist changes. Locked after sign-off.</t>
        </is>
      </c>
      <c r="E84" s="13" t="inlineStr">
        <is>
          <t>ThangNDCE180608</t>
        </is>
      </c>
      <c r="F84" s="14" t="inlineStr">
        <is>
          <t>To Do</t>
        </is>
      </c>
      <c r="G84" s="13" t="n"/>
      <c r="H84" s="13" t="n"/>
      <c r="I84" s="13" t="n"/>
      <c r="J84" s="15">
        <f>IF(L84="Simple",60,IF(L84="Medium",120,240))*IF(M84="Low",50%,IF(M84="Medium",75%,100%))</f>
        <v/>
      </c>
      <c r="K84" s="13" t="n"/>
      <c r="L84" s="13" t="inlineStr">
        <is>
          <t>Simple</t>
        </is>
      </c>
      <c r="M84" s="13" t="inlineStr">
        <is>
          <t>High</t>
        </is>
      </c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2.75" customHeight="1" s="27">
      <c r="A85" s="9">
        <f>ROW()-4</f>
        <v/>
      </c>
      <c r="B85" s="13" t="inlineStr">
        <is>
          <t>Sign Off Encounter</t>
        </is>
      </c>
      <c r="C85" s="13" t="inlineStr">
        <is>
          <t>Electronic Medical Record</t>
        </is>
      </c>
      <c r="D85" s="13" t="inlineStr">
        <is>
          <t>Finalize encounter; no further edits. Confirm dialog.</t>
        </is>
      </c>
      <c r="E85" s="13" t="inlineStr">
        <is>
          <t>ThangDQCE182036</t>
        </is>
      </c>
      <c r="F85" s="14" t="inlineStr">
        <is>
          <t>To Do</t>
        </is>
      </c>
      <c r="G85" s="13" t="n"/>
      <c r="H85" s="13" t="n"/>
      <c r="I85" s="13" t="n"/>
      <c r="J85" s="15">
        <f>IF(L85="Simple",60,IF(L85="Medium",120,240))*IF(M85="Low",50%,IF(M85="Medium",75%,100%))</f>
        <v/>
      </c>
      <c r="K85" s="13" t="n"/>
      <c r="L85" s="13" t="inlineStr">
        <is>
          <t>Simple</t>
        </is>
      </c>
      <c r="M85" s="13" t="inlineStr">
        <is>
          <t>High</t>
        </is>
      </c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2.75" customHeight="1" s="27">
      <c r="A86" s="9">
        <f>ROW()-4</f>
        <v/>
      </c>
      <c r="B86" s="13" t="inlineStr">
        <is>
          <t>Add Diagnosis</t>
        </is>
      </c>
      <c r="C86" s="13" t="inlineStr">
        <is>
          <t>Electronic Medical Record</t>
        </is>
      </c>
      <c r="D86" s="13" t="inlineStr">
        <is>
          <t>ICD search + diagnosis text. At least one required to sign off. Link to encounter. Shows on timeline.</t>
        </is>
      </c>
      <c r="E86" s="13" t="inlineStr">
        <is>
          <t>TanhNTCE182341</t>
        </is>
      </c>
      <c r="F86" s="14" t="inlineStr">
        <is>
          <t>To Do</t>
        </is>
      </c>
      <c r="G86" s="13" t="n"/>
      <c r="H86" s="13" t="n"/>
      <c r="I86" s="13" t="n"/>
      <c r="J86" s="15">
        <f>IF(L86="Simple",60,IF(L86="Medium",120,240))*IF(M86="Low",50%,IF(M86="Medium",75%,100%))</f>
        <v/>
      </c>
      <c r="K86" s="13" t="n"/>
      <c r="L86" s="13" t="inlineStr">
        <is>
          <t>Simple</t>
        </is>
      </c>
      <c r="M86" s="13" t="inlineStr">
        <is>
          <t>High</t>
        </is>
      </c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2.75" customHeight="1" s="27">
      <c r="A87" s="9">
        <f>ROW()-4</f>
        <v/>
      </c>
      <c r="B87" s="13" t="inlineStr">
        <is>
          <t>View Edit Diagnosis Form</t>
        </is>
      </c>
      <c r="C87" s="13" t="inlineStr">
        <is>
          <t>Electronic Medical Record</t>
        </is>
      </c>
      <c r="D87" s="13" t="inlineStr">
        <is>
          <t>Update entry. Audit optional.</t>
        </is>
      </c>
      <c r="E87" s="13" t="inlineStr">
        <is>
          <t>KhoaNNCE181612</t>
        </is>
      </c>
      <c r="F87" s="14" t="inlineStr">
        <is>
          <t>To Do</t>
        </is>
      </c>
      <c r="G87" s="13" t="n"/>
      <c r="H87" s="13" t="n"/>
      <c r="I87" s="13" t="n"/>
      <c r="J87" s="15">
        <f>IF(L87="Simple",60,IF(L87="Medium",120,240))*IF(M87="Low",50%,IF(M87="Medium",75%,100%))</f>
        <v/>
      </c>
      <c r="K87" s="13" t="n"/>
      <c r="L87" s="13" t="inlineStr">
        <is>
          <t>Simple</t>
        </is>
      </c>
      <c r="M87" s="13" t="inlineStr">
        <is>
          <t>High</t>
        </is>
      </c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2.75" customHeight="1" s="27">
      <c r="A88" s="9">
        <f>ROW()-4</f>
        <v/>
      </c>
      <c r="B88" s="13" t="inlineStr">
        <is>
          <t>Remove Diagnosis</t>
        </is>
      </c>
      <c r="C88" s="13" t="inlineStr">
        <is>
          <t>Electronic Medical Record</t>
        </is>
      </c>
      <c r="D88" s="13" t="inlineStr">
        <is>
          <t>Delete with confirm. Removed from summary.</t>
        </is>
      </c>
      <c r="E88" s="13" t="inlineStr">
        <is>
          <t>TanhNTCE182341</t>
        </is>
      </c>
      <c r="F88" s="14" t="inlineStr">
        <is>
          <t>To Do</t>
        </is>
      </c>
      <c r="G88" s="13" t="n"/>
      <c r="H88" s="13" t="n"/>
      <c r="I88" s="13" t="n"/>
      <c r="J88" s="15">
        <f>IF(L88="Simple",60,IF(L88="Medium",120,240))*IF(M88="Low",50%,IF(M88="Medium",75%,100%))</f>
        <v/>
      </c>
      <c r="K88" s="13" t="n"/>
      <c r="L88" s="13" t="inlineStr">
        <is>
          <t>Simple</t>
        </is>
      </c>
      <c r="M88" s="13" t="inlineStr">
        <is>
          <t>High</t>
        </is>
      </c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2.75" customHeight="1" s="27">
      <c r="A89" s="9">
        <f>ROW()-4</f>
        <v/>
      </c>
      <c r="B89" s="13" t="inlineStr">
        <is>
          <t>Search ICD-10 Catalog</t>
        </is>
      </c>
      <c r="C89" s="13" t="inlineStr">
        <is>
          <t>Electronic Medical Record</t>
        </is>
      </c>
      <c r="D89" s="13" t="inlineStr">
        <is>
          <t>Autocomplete from catalog. Select fills code field.</t>
        </is>
      </c>
      <c r="E89" s="13" t="inlineStr">
        <is>
          <t>KhoaNNCE181612</t>
        </is>
      </c>
      <c r="F89" s="14" t="inlineStr">
        <is>
          <t>To Do</t>
        </is>
      </c>
      <c r="G89" s="13" t="n"/>
      <c r="H89" s="13" t="n"/>
      <c r="I89" s="13" t="n"/>
      <c r="J89" s="15">
        <f>IF(L89="Simple",60,IF(L89="Medium",120,240))*IF(M89="Low",50%,IF(M89="Medium",75%,100%))</f>
        <v/>
      </c>
      <c r="K89" s="13" t="n"/>
      <c r="L89" s="13" t="inlineStr">
        <is>
          <t>Simple</t>
        </is>
      </c>
      <c r="M89" s="13" t="inlineStr">
        <is>
          <t>High</t>
        </is>
      </c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2.75" customHeight="1" s="27">
      <c r="A90" s="9">
        <f>ROW()-4</f>
        <v/>
      </c>
      <c r="B90" s="13" t="inlineStr">
        <is>
          <t>Upload Medical Image</t>
        </is>
      </c>
      <c r="C90" s="13" t="inlineStr">
        <is>
          <t>Medical Imaging</t>
        </is>
      </c>
      <c r="D90" s="13" t="inlineStr">
        <is>
          <t>Select file, type, link encounter. Size/type validation. Store metadata + URL. Thumbnail on encounter.</t>
        </is>
      </c>
      <c r="E90" s="13" t="inlineStr">
        <is>
          <t>ThangNDCE180608</t>
        </is>
      </c>
      <c r="F90" s="14" t="inlineStr">
        <is>
          <t>To Do</t>
        </is>
      </c>
      <c r="G90" s="13" t="n"/>
      <c r="H90" s="13" t="n"/>
      <c r="I90" s="13" t="n"/>
      <c r="J90" s="15">
        <f>IF(L90="Simple",60,IF(L90="Medium",120,240))*IF(M90="Low",50%,IF(M90="Medium",75%,100%))</f>
        <v/>
      </c>
      <c r="K90" s="13" t="n"/>
      <c r="L90" s="13" t="inlineStr">
        <is>
          <t>Simple</t>
        </is>
      </c>
      <c r="M90" s="13" t="inlineStr">
        <is>
          <t>High</t>
        </is>
      </c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2.75" customHeight="1" s="27">
      <c r="A91" s="9">
        <f>ROW()-4</f>
        <v/>
      </c>
      <c r="B91" s="13" t="inlineStr">
        <is>
          <t>Medical Imaging Gallery</t>
        </is>
      </c>
      <c r="C91" s="13" t="inlineStr">
        <is>
          <t>Medical Imaging</t>
        </is>
      </c>
      <c r="D91" s="13" t="inlineStr">
        <is>
          <t>Grid by date. Click fullscreen.</t>
        </is>
      </c>
      <c r="E91" s="13" t="inlineStr">
        <is>
          <t>KhoaNNCE181612</t>
        </is>
      </c>
      <c r="F91" s="14" t="inlineStr">
        <is>
          <t>To Do</t>
        </is>
      </c>
      <c r="G91" s="13" t="n"/>
      <c r="H91" s="13" t="n"/>
      <c r="I91" s="13" t="n"/>
      <c r="J91" s="15">
        <f>IF(L91="Simple",60,IF(L91="Medium",120,240))*IF(M91="Low",50%,IF(M91="Medium",75%,100%))</f>
        <v/>
      </c>
      <c r="K91" s="13" t="n"/>
      <c r="L91" s="13" t="inlineStr">
        <is>
          <t>Simple</t>
        </is>
      </c>
      <c r="M91" s="13" t="inlineStr">
        <is>
          <t>High</t>
        </is>
      </c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2.75" customHeight="1" s="27">
      <c r="A92" s="9">
        <f>ROW()-4</f>
        <v/>
      </c>
      <c r="B92" s="13" t="inlineStr">
        <is>
          <t>View Image Fullscreen</t>
        </is>
      </c>
      <c r="C92" s="13" t="inlineStr">
        <is>
          <t>Medical Imaging</t>
        </is>
      </c>
      <c r="D92" s="13" t="inlineStr">
        <is>
          <t>Zoom/pan. Download if permitted.</t>
        </is>
      </c>
      <c r="E92" s="13" t="inlineStr">
        <is>
          <t>ThangNDCE180608</t>
        </is>
      </c>
      <c r="F92" s="14" t="inlineStr">
        <is>
          <t>To Do</t>
        </is>
      </c>
      <c r="G92" s="13" t="n"/>
      <c r="H92" s="13" t="n"/>
      <c r="I92" s="13" t="n"/>
      <c r="J92" s="15">
        <f>IF(L92="Simple",60,IF(L92="Medium",120,240))*IF(M92="Low",50%,IF(M92="Medium",75%,100%))</f>
        <v/>
      </c>
      <c r="K92" s="13" t="n"/>
      <c r="L92" s="13" t="inlineStr">
        <is>
          <t>Simple</t>
        </is>
      </c>
      <c r="M92" s="13" t="inlineStr">
        <is>
          <t>High</t>
        </is>
      </c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2.75" customHeight="1" s="27">
      <c r="A93" s="9">
        <f>ROW()-4</f>
        <v/>
      </c>
      <c r="B93" s="13" t="inlineStr">
        <is>
          <t>Delete Medical Image</t>
        </is>
      </c>
      <c r="C93" s="13" t="inlineStr">
        <is>
          <t>Medical Imaging</t>
        </is>
      </c>
      <c r="D93" s="13" t="inlineStr">
        <is>
          <t>Confirm; remove from encounter. Soft-delete retained admin.</t>
        </is>
      </c>
      <c r="E93" s="13" t="inlineStr">
        <is>
          <t>ThangDQCE182036</t>
        </is>
      </c>
      <c r="F93" s="14" t="inlineStr">
        <is>
          <t>To Do</t>
        </is>
      </c>
      <c r="G93" s="13" t="n"/>
      <c r="H93" s="13" t="n"/>
      <c r="I93" s="13" t="n"/>
      <c r="J93" s="15">
        <f>IF(L93="Simple",60,IF(L93="Medium",120,240))*IF(M93="Low",50%,IF(M93="Medium",75%,100%))</f>
        <v/>
      </c>
      <c r="K93" s="13" t="n"/>
      <c r="L93" s="13" t="inlineStr">
        <is>
          <t>Simple</t>
        </is>
      </c>
      <c r="M93" s="13" t="inlineStr">
        <is>
          <t>High</t>
        </is>
      </c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2.75" customHeight="1" s="27">
      <c r="A94" s="9">
        <f>ROW()-4</f>
        <v/>
      </c>
      <c r="B94" s="13" t="inlineStr">
        <is>
          <t>Create Prescription</t>
        </is>
      </c>
      <c r="C94" s="13" t="inlineStr">
        <is>
          <t>Prescription</t>
        </is>
      </c>
      <c r="D94" s="13" t="inlineStr">
        <is>
          <t>Add line items drug qty duration. Stock check warning.</t>
        </is>
      </c>
      <c r="E94" s="13" t="inlineStr">
        <is>
          <t>ThangDQCE182036</t>
        </is>
      </c>
      <c r="F94" s="14" t="inlineStr">
        <is>
          <t>To Do</t>
        </is>
      </c>
      <c r="G94" s="13" t="n"/>
      <c r="H94" s="13" t="n"/>
      <c r="I94" s="13" t="n"/>
      <c r="J94" s="15">
        <f>IF(L94="Simple",60,IF(L94="Medium",120,240))*IF(M94="Low",50%,IF(M94="Medium",75%,100%))</f>
        <v/>
      </c>
      <c r="K94" s="13" t="inlineStr">
        <is>
          <t>Có thể lên medium</t>
        </is>
      </c>
      <c r="L94" s="13" t="inlineStr">
        <is>
          <t>Simple</t>
        </is>
      </c>
      <c r="M94" s="13" t="inlineStr">
        <is>
          <t>High</t>
        </is>
      </c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2.75" customHeight="1" s="27">
      <c r="A95" s="9">
        <f>ROW()-4</f>
        <v/>
      </c>
      <c r="B95" s="13" t="inlineStr">
        <is>
          <t>Add Prescription Line Item</t>
        </is>
      </c>
      <c r="C95" s="13" t="inlineStr">
        <is>
          <t>Prescription</t>
        </is>
      </c>
      <c r="D95" s="13" t="inlineStr">
        <is>
          <t>Row in prescription table. Duplicate drug warns.</t>
        </is>
      </c>
      <c r="E95" s="13" t="inlineStr">
        <is>
          <t>TanhNTCE182341</t>
        </is>
      </c>
      <c r="F95" s="14" t="inlineStr">
        <is>
          <t>To Do</t>
        </is>
      </c>
      <c r="G95" s="13" t="n"/>
      <c r="H95" s="13" t="n"/>
      <c r="I95" s="13" t="n"/>
      <c r="J95" s="15">
        <f>IF(L95="Simple",60,IF(L95="Medium",120,240))*IF(M95="Low",50%,IF(M95="Medium",75%,100%))</f>
        <v/>
      </c>
      <c r="K95" s="13" t="n"/>
      <c r="L95" s="13" t="inlineStr">
        <is>
          <t>Simple</t>
        </is>
      </c>
      <c r="M95" s="13" t="inlineStr">
        <is>
          <t>High</t>
        </is>
      </c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2.75" customHeight="1" s="27">
      <c r="A96" s="9">
        <f>ROW()-4</f>
        <v/>
      </c>
      <c r="B96" s="13" t="inlineStr">
        <is>
          <t>Update Prescription Line Item</t>
        </is>
      </c>
      <c r="C96" s="13" t="inlineStr">
        <is>
          <t>Prescription</t>
        </is>
      </c>
      <c r="D96" s="13" t="inlineStr">
        <is>
          <t>Change qty/duration. Recalculates total.</t>
        </is>
      </c>
      <c r="E96" s="13" t="inlineStr">
        <is>
          <t>KhoaNNCE181612</t>
        </is>
      </c>
      <c r="F96" s="14" t="inlineStr">
        <is>
          <t>To Do</t>
        </is>
      </c>
      <c r="G96" s="13" t="n"/>
      <c r="H96" s="13" t="n"/>
      <c r="I96" s="13" t="n"/>
      <c r="J96" s="15">
        <f>IF(L96="Simple",60,IF(L96="Medium",120,240))*IF(M96="Low",50%,IF(M96="Medium",75%,100%))</f>
        <v/>
      </c>
      <c r="K96" s="13" t="n"/>
      <c r="L96" s="13" t="inlineStr">
        <is>
          <t>Simple</t>
        </is>
      </c>
      <c r="M96" s="13" t="inlineStr">
        <is>
          <t>High</t>
        </is>
      </c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2.75" customHeight="1" s="27">
      <c r="A97" s="9">
        <f>ROW()-4</f>
        <v/>
      </c>
      <c r="B97" s="13" t="inlineStr">
        <is>
          <t>Remove Prescription Line Item</t>
        </is>
      </c>
      <c r="C97" s="13" t="inlineStr">
        <is>
          <t>Prescription</t>
        </is>
      </c>
      <c r="D97" s="13" t="inlineStr">
        <is>
          <t>Delete row. Total updates.</t>
        </is>
      </c>
      <c r="E97" s="13" t="inlineStr">
        <is>
          <t>ThangNDCE180608</t>
        </is>
      </c>
      <c r="F97" s="14" t="inlineStr">
        <is>
          <t>To Do</t>
        </is>
      </c>
      <c r="G97" s="13" t="n"/>
      <c r="H97" s="13" t="n"/>
      <c r="I97" s="13" t="n"/>
      <c r="J97" s="15">
        <f>IF(L97="Simple",60,IF(L97="Medium",120,240))*IF(M97="Low",50%,IF(M97="Medium",75%,100%))</f>
        <v/>
      </c>
      <c r="K97" s="13" t="n"/>
      <c r="L97" s="13" t="inlineStr">
        <is>
          <t>Simple</t>
        </is>
      </c>
      <c r="M97" s="13" t="inlineStr">
        <is>
          <t>High</t>
        </is>
      </c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2.75" customHeight="1" s="27">
      <c r="A98" s="9">
        <f>ROW()-4</f>
        <v/>
      </c>
      <c r="B98" s="13" t="inlineStr">
        <is>
          <t>Save Prescription</t>
        </is>
      </c>
      <c r="C98" s="13" t="inlineStr">
        <is>
          <t>Prescription</t>
        </is>
      </c>
      <c r="D98" s="13" t="inlineStr">
        <is>
          <t>Persist prescription. Stock decrement on sign-off.</t>
        </is>
      </c>
      <c r="E98" s="13" t="inlineStr">
        <is>
          <t>TanhNTCE182341</t>
        </is>
      </c>
      <c r="F98" s="14" t="inlineStr">
        <is>
          <t>To Do</t>
        </is>
      </c>
      <c r="G98" s="13" t="n"/>
      <c r="H98" s="13" t="n"/>
      <c r="I98" s="13" t="n"/>
      <c r="J98" s="15">
        <f>IF(L98="Simple",60,IF(L98="Medium",120,240))*IF(M98="Low",50%,IF(M98="Medium",75%,100%))</f>
        <v/>
      </c>
      <c r="K98" s="13" t="n"/>
      <c r="L98" s="13" t="inlineStr">
        <is>
          <t>Simple</t>
        </is>
      </c>
      <c r="M98" s="13" t="inlineStr">
        <is>
          <t>High</t>
        </is>
      </c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2.75" customHeight="1" s="27">
      <c r="A99" s="9">
        <f>ROW()-4</f>
        <v/>
      </c>
      <c r="B99" s="13" t="inlineStr">
        <is>
          <t>Prescription Detail</t>
        </is>
      </c>
      <c r="C99" s="13" t="inlineStr">
        <is>
          <t>Prescription</t>
        </is>
      </c>
      <c r="D99" s="13" t="inlineStr">
        <is>
          <t>Patient/doctor read-only view. Print button.</t>
        </is>
      </c>
      <c r="E99" s="13" t="inlineStr">
        <is>
          <t>ThangDQCE182036</t>
        </is>
      </c>
      <c r="F99" s="14" t="inlineStr">
        <is>
          <t>To Do</t>
        </is>
      </c>
      <c r="G99" s="13" t="n"/>
      <c r="H99" s="13" t="n"/>
      <c r="I99" s="13" t="n"/>
      <c r="J99" s="15">
        <f>IF(L99="Simple",60,IF(L99="Medium",120,240))*IF(M99="Low",50%,IF(M99="Medium",75%,100%))</f>
        <v/>
      </c>
      <c r="K99" s="13" t="n"/>
      <c r="L99" s="13" t="inlineStr">
        <is>
          <t>Simple</t>
        </is>
      </c>
      <c r="M99" s="13" t="inlineStr">
        <is>
          <t>High</t>
        </is>
      </c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2.75" customHeight="1" s="27">
      <c r="A100" s="9">
        <f>ROW()-4</f>
        <v/>
      </c>
      <c r="B100" s="13" t="inlineStr">
        <is>
          <t>My Prescriptions List</t>
        </is>
      </c>
      <c r="C100" s="13" t="inlineStr">
        <is>
          <t>Prescription</t>
        </is>
      </c>
      <c r="D100" s="13" t="inlineStr">
        <is>
          <t>Past prescriptions. Download PDF link.</t>
        </is>
      </c>
      <c r="E100" s="13" t="inlineStr">
        <is>
          <t>TanhNTCE182341</t>
        </is>
      </c>
      <c r="F100" s="14" t="inlineStr">
        <is>
          <t>To Do</t>
        </is>
      </c>
      <c r="G100" s="13" t="n"/>
      <c r="H100" s="13" t="n"/>
      <c r="I100" s="13" t="n"/>
      <c r="J100" s="15">
        <f>IF(L100="Simple",60,IF(L100="Medium",120,240))*IF(M100="Low",50%,IF(M100="Medium",75%,100%))</f>
        <v/>
      </c>
      <c r="K100" s="13" t="n"/>
      <c r="L100" s="13" t="inlineStr">
        <is>
          <t>Simple</t>
        </is>
      </c>
      <c r="M100" s="13" t="inlineStr">
        <is>
          <t>High</t>
        </is>
      </c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2.75" customHeight="1" s="27">
      <c r="A101" s="9">
        <f>ROW()-4</f>
        <v/>
      </c>
      <c r="B101" s="13" t="inlineStr">
        <is>
          <t>Export Prescription PDF</t>
        </is>
      </c>
      <c r="C101" s="13" t="inlineStr">
        <is>
          <t>Prescription</t>
        </is>
      </c>
      <c r="D101" s="13" t="inlineStr">
        <is>
          <t>Generate PDF with letterhead. Matches on-screen data.</t>
        </is>
      </c>
      <c r="E101" s="13" t="inlineStr">
        <is>
          <t>KhoaNNCE181612</t>
        </is>
      </c>
      <c r="F101" s="14" t="inlineStr">
        <is>
          <t>To Do</t>
        </is>
      </c>
      <c r="G101" s="13" t="n"/>
      <c r="H101" s="13" t="n"/>
      <c r="I101" s="13" t="n"/>
      <c r="J101" s="15">
        <f>IF(L101="Simple",60,IF(L101="Medium",120,240))*IF(M101="Low",50%,IF(M101="Medium",75%,100%))</f>
        <v/>
      </c>
      <c r="K101" s="13" t="n"/>
      <c r="L101" s="13" t="inlineStr">
        <is>
          <t>Medium</t>
        </is>
      </c>
      <c r="M101" s="13" t="inlineStr">
        <is>
          <t>High</t>
        </is>
      </c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2.75" customHeight="1" s="27">
      <c r="A102" s="9">
        <f>ROW()-4</f>
        <v/>
      </c>
      <c r="B102" s="13" t="inlineStr">
        <is>
          <t>View Prescription QR Code</t>
        </is>
      </c>
      <c r="C102" s="13" t="inlineStr">
        <is>
          <t>Prescription</t>
        </is>
      </c>
      <c r="D102" s="13" t="inlineStr">
        <is>
          <t>QR on PDF/screen. Encodes prescription id.</t>
        </is>
      </c>
      <c r="E102" s="13" t="inlineStr">
        <is>
          <t>KhoaNNCE181612</t>
        </is>
      </c>
      <c r="F102" s="14" t="inlineStr">
        <is>
          <t>To Do</t>
        </is>
      </c>
      <c r="G102" s="13" t="n"/>
      <c r="H102" s="13" t="n"/>
      <c r="I102" s="13" t="n"/>
      <c r="J102" s="15">
        <f>IF(L102="Simple",60,IF(L102="Medium",120,240))*IF(M102="Low",50%,IF(M102="Medium",75%,100%))</f>
        <v/>
      </c>
      <c r="K102" s="13" t="n"/>
      <c r="L102" s="13" t="inlineStr">
        <is>
          <t>Simple</t>
        </is>
      </c>
      <c r="M102" s="13" t="inlineStr">
        <is>
          <t>High</t>
        </is>
      </c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2.75" customHeight="1" s="27">
      <c r="A103" s="9">
        <f>ROW()-4</f>
        <v/>
      </c>
      <c r="B103" s="13" t="inlineStr">
        <is>
          <t>Medicines Inventory List</t>
        </is>
      </c>
      <c r="C103" s="13" t="inlineStr">
        <is>
          <t>Pharmacy</t>
        </is>
      </c>
      <c r="D103" s="13" t="inlineStr">
        <is>
          <t>SKU, name, qty, expiry. Low stock highlight.</t>
        </is>
      </c>
      <c r="E103" s="13" t="inlineStr">
        <is>
          <t>TruongNTCE180140</t>
        </is>
      </c>
      <c r="F103" s="14" t="inlineStr">
        <is>
          <t>To Do</t>
        </is>
      </c>
      <c r="G103" s="13" t="n"/>
      <c r="H103" s="13" t="n"/>
      <c r="I103" s="13" t="n"/>
      <c r="J103" s="15">
        <f>IF(L103="Simple",60,IF(L103="Medium",120,240))*IF(M103="Low",50%,IF(M103="Medium",75%,100%))</f>
        <v/>
      </c>
      <c r="K103" s="13" t="n"/>
      <c r="L103" s="13" t="inlineStr">
        <is>
          <t>Simple</t>
        </is>
      </c>
      <c r="M103" s="13" t="inlineStr">
        <is>
          <t>High</t>
        </is>
      </c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2.75" customHeight="1" s="27">
      <c r="A104" s="9">
        <f>ROW()-4</f>
        <v/>
      </c>
      <c r="B104" s="13" t="inlineStr">
        <is>
          <t>Create Medicine</t>
        </is>
      </c>
      <c r="C104" s="13" t="inlineStr">
        <is>
          <t>Pharmacy</t>
        </is>
      </c>
      <c r="D104" s="13" t="inlineStr">
        <is>
          <t>SKU, unit, reorder level. Unique SKU. Persist. Appears in inventory.</t>
        </is>
      </c>
      <c r="E104" s="13" t="inlineStr">
        <is>
          <t>ThangNDCE180608</t>
        </is>
      </c>
      <c r="F104" s="14" t="inlineStr">
        <is>
          <t>To Do</t>
        </is>
      </c>
      <c r="G104" s="13" t="n"/>
      <c r="H104" s="13" t="n"/>
      <c r="I104" s="13" t="n"/>
      <c r="J104" s="15">
        <f>IF(L104="Simple",60,IF(L104="Medium",120,240))*IF(M104="Low",50%,IF(M104="Medium",75%,100%))</f>
        <v/>
      </c>
      <c r="K104" s="13" t="n"/>
      <c r="L104" s="13" t="inlineStr">
        <is>
          <t>Simple</t>
        </is>
      </c>
      <c r="M104" s="13" t="inlineStr">
        <is>
          <t>High</t>
        </is>
      </c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2.75" customHeight="1" s="27">
      <c r="A105" s="9">
        <f>ROW()-4</f>
        <v/>
      </c>
      <c r="B105" s="13" t="inlineStr">
        <is>
          <t>Medicine Detail</t>
        </is>
      </c>
      <c r="C105" s="13" t="inlineStr">
        <is>
          <t>Pharmacy</t>
        </is>
      </c>
      <c r="D105" s="13" t="inlineStr">
        <is>
          <t>Batches and movement history link. Read-only tab.</t>
        </is>
      </c>
      <c r="E105" s="13" t="inlineStr">
        <is>
          <t>ThangDQCE182036</t>
        </is>
      </c>
      <c r="F105" s="14" t="inlineStr">
        <is>
          <t>To Do</t>
        </is>
      </c>
      <c r="G105" s="13" t="n"/>
      <c r="H105" s="13" t="n"/>
      <c r="I105" s="13" t="n"/>
      <c r="J105" s="15">
        <f>IF(L105="Simple",60,IF(L105="Medium",120,240))*IF(M105="Low",50%,IF(M105="Medium",75%,100%))</f>
        <v/>
      </c>
      <c r="K105" s="13" t="n"/>
      <c r="L105" s="13" t="inlineStr">
        <is>
          <t>Simple</t>
        </is>
      </c>
      <c r="M105" s="13" t="inlineStr">
        <is>
          <t>High</t>
        </is>
      </c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2.75" customHeight="1" s="27">
      <c r="A106" s="9">
        <f>ROW()-4</f>
        <v/>
      </c>
      <c r="B106" s="13" t="inlineStr">
        <is>
          <t>Update Medicine</t>
        </is>
      </c>
      <c r="C106" s="13" t="inlineStr">
        <is>
          <t>Pharmacy</t>
        </is>
      </c>
      <c r="D106" s="13" t="inlineStr">
        <is>
          <t>Update attributes. Deactivate option. Persist. List updated.</t>
        </is>
      </c>
      <c r="E106" s="13" t="inlineStr">
        <is>
          <t>TanhNTCE182341</t>
        </is>
      </c>
      <c r="F106" s="14" t="inlineStr">
        <is>
          <t>To Do</t>
        </is>
      </c>
      <c r="G106" s="13" t="n"/>
      <c r="H106" s="13" t="n"/>
      <c r="I106" s="13" t="n"/>
      <c r="J106" s="15">
        <f>IF(L106="Simple",60,IF(L106="Medium",120,240))*IF(M106="Low",50%,IF(M106="Medium",75%,100%))</f>
        <v/>
      </c>
      <c r="K106" s="13" t="n"/>
      <c r="L106" s="13" t="inlineStr">
        <is>
          <t>Simple</t>
        </is>
      </c>
      <c r="M106" s="13" t="inlineStr">
        <is>
          <t>High</t>
        </is>
      </c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2.75" customHeight="1" s="27">
      <c r="A107" s="9">
        <f>ROW()-4</f>
        <v/>
      </c>
      <c r="B107" s="13" t="inlineStr">
        <is>
          <t>Stock Inbound</t>
        </is>
      </c>
      <c r="C107" s="13" t="inlineStr">
        <is>
          <t>Pharmacy</t>
        </is>
      </c>
      <c r="D107" s="13" t="inlineStr">
        <is>
          <t>Qty, batch, expiry, supplier ref. Increases on hand. Ledger entry. Qty updated.</t>
        </is>
      </c>
      <c r="E107" s="13" t="inlineStr">
        <is>
          <t>KhoaNNCE181612</t>
        </is>
      </c>
      <c r="F107" s="14" t="inlineStr">
        <is>
          <t>To Do</t>
        </is>
      </c>
      <c r="G107" s="13" t="n"/>
      <c r="H107" s="13" t="n"/>
      <c r="I107" s="13" t="n"/>
      <c r="J107" s="15">
        <f>IF(L107="Simple",60,IF(L107="Medium",120,240))*IF(M107="Low",50%,IF(M107="Medium",75%,100%))</f>
        <v/>
      </c>
      <c r="K107" s="13" t="n"/>
      <c r="L107" s="13" t="inlineStr">
        <is>
          <t>Simple</t>
        </is>
      </c>
      <c r="M107" s="13" t="inlineStr">
        <is>
          <t>High</t>
        </is>
      </c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2.75" customHeight="1" s="27">
      <c r="A108" s="9">
        <f>ROW()-4</f>
        <v/>
      </c>
      <c r="B108" s="13" t="inlineStr">
        <is>
          <t>Stock Outbound</t>
        </is>
      </c>
      <c r="C108" s="13" t="inlineStr">
        <is>
          <t>Pharmacy</t>
        </is>
      </c>
      <c r="D108" s="13" t="inlineStr">
        <is>
          <t>Qty, reason, link prescription optional. Cannot exceed on hand. Decrement stock. Ledger entry.</t>
        </is>
      </c>
      <c r="E108" s="13" t="inlineStr">
        <is>
          <t>TruongNTCE180140</t>
        </is>
      </c>
      <c r="F108" s="14" t="inlineStr">
        <is>
          <t>To Do</t>
        </is>
      </c>
      <c r="G108" s="13" t="n"/>
      <c r="H108" s="13" t="n"/>
      <c r="I108" s="13" t="n"/>
      <c r="J108" s="15">
        <f>IF(L108="Simple",60,IF(L108="Medium",120,240))*IF(M108="Low",50%,IF(M108="Medium",75%,100%))</f>
        <v/>
      </c>
      <c r="K108" s="13" t="n"/>
      <c r="L108" s="13" t="inlineStr">
        <is>
          <t>Simple</t>
        </is>
      </c>
      <c r="M108" s="13" t="inlineStr">
        <is>
          <t>High</t>
        </is>
      </c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2.75" customHeight="1" s="27">
      <c r="A109" s="9">
        <f>ROW()-4</f>
        <v/>
      </c>
      <c r="B109" s="13" t="inlineStr">
        <is>
          <t>Low Stock Alerts</t>
        </is>
      </c>
      <c r="C109" s="13" t="inlineStr">
        <is>
          <t>Pharmacy</t>
        </is>
      </c>
      <c r="D109" s="13" t="inlineStr">
        <is>
          <t>Under threshold and near expiry lists. Sort by urgency.</t>
        </is>
      </c>
      <c r="E109" s="13" t="inlineStr">
        <is>
          <t>ThangNDCE180608</t>
        </is>
      </c>
      <c r="F109" s="14" t="inlineStr">
        <is>
          <t>To Do</t>
        </is>
      </c>
      <c r="G109" s="13" t="n"/>
      <c r="H109" s="13" t="n"/>
      <c r="I109" s="13" t="n"/>
      <c r="J109" s="15">
        <f>IF(L109="Simple",60,IF(L109="Medium",120,240))*IF(M109="Low",50%,IF(M109="Medium",75%,100%))</f>
        <v/>
      </c>
      <c r="K109" s="13" t="n"/>
      <c r="L109" s="13" t="inlineStr">
        <is>
          <t>Simple</t>
        </is>
      </c>
      <c r="M109" s="13" t="inlineStr">
        <is>
          <t>High</t>
        </is>
      </c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2.75" customHeight="1" s="27">
      <c r="A110" s="9">
        <f>ROW()-4</f>
        <v/>
      </c>
      <c r="B110" s="13" t="inlineStr">
        <is>
          <t>Add Doctor to Favorites</t>
        </is>
      </c>
      <c r="C110" s="13" t="inlineStr">
        <is>
          <t>Engagement &amp; Reviews</t>
        </is>
      </c>
      <c r="D110" s="13" t="inlineStr">
        <is>
          <t>Heart icon on profile. Toggle on.</t>
        </is>
      </c>
      <c r="E110" s="13" t="inlineStr">
        <is>
          <t>ThangDQCE182036</t>
        </is>
      </c>
      <c r="F110" s="14" t="inlineStr">
        <is>
          <t>To Do</t>
        </is>
      </c>
      <c r="G110" s="13" t="n"/>
      <c r="H110" s="13" t="n"/>
      <c r="I110" s="13" t="n"/>
      <c r="J110" s="15">
        <f>IF(L110="Simple",60,IF(L110="Medium",120,240))*IF(M110="Low",50%,IF(M110="Medium",75%,100%))</f>
        <v/>
      </c>
      <c r="K110" s="13" t="n"/>
      <c r="L110" s="13" t="inlineStr">
        <is>
          <t>Simple</t>
        </is>
      </c>
      <c r="M110" s="13" t="inlineStr">
        <is>
          <t>High</t>
        </is>
      </c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2.75" customHeight="1" s="27">
      <c r="A111" s="9">
        <f>ROW()-4</f>
        <v/>
      </c>
      <c r="B111" s="13" t="inlineStr">
        <is>
          <t>Favorite Doctors List</t>
        </is>
      </c>
      <c r="C111" s="13" t="inlineStr">
        <is>
          <t>Engagement &amp; Reviews</t>
        </is>
      </c>
      <c r="D111" s="13" t="inlineStr">
        <is>
          <t>List with quick book. Remove option.</t>
        </is>
      </c>
      <c r="E111" s="13" t="inlineStr">
        <is>
          <t>TanhNTCE182341</t>
        </is>
      </c>
      <c r="F111" s="14" t="inlineStr">
        <is>
          <t>To Do</t>
        </is>
      </c>
      <c r="G111" s="13" t="n"/>
      <c r="H111" s="13" t="n"/>
      <c r="I111" s="13" t="n"/>
      <c r="J111" s="15">
        <f>IF(L111="Simple",60,IF(L111="Medium",120,240))*IF(M111="Low",50%,IF(M111="Medium",75%,100%))</f>
        <v/>
      </c>
      <c r="K111" s="13" t="n"/>
      <c r="L111" s="13" t="inlineStr">
        <is>
          <t>Simple</t>
        </is>
      </c>
      <c r="M111" s="13" t="inlineStr">
        <is>
          <t>High</t>
        </is>
      </c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2.75" customHeight="1" s="27">
      <c r="A112" s="9">
        <f>ROW()-4</f>
        <v/>
      </c>
      <c r="B112" s="13" t="inlineStr">
        <is>
          <t>Remove Doctor from Favorites</t>
        </is>
      </c>
      <c r="C112" s="13" t="inlineStr">
        <is>
          <t>Engagement &amp; Reviews</t>
        </is>
      </c>
      <c r="D112" s="13" t="inlineStr">
        <is>
          <t>Remove from list. Undo optional toast.</t>
        </is>
      </c>
      <c r="E112" s="13" t="inlineStr">
        <is>
          <t>KhoaNNCE181612</t>
        </is>
      </c>
      <c r="F112" s="14" t="inlineStr">
        <is>
          <t>To Do</t>
        </is>
      </c>
      <c r="G112" s="13" t="n"/>
      <c r="H112" s="13" t="n"/>
      <c r="I112" s="13" t="n"/>
      <c r="J112" s="15">
        <f>IF(L112="Simple",60,IF(L112="Medium",120,240))*IF(M112="Low",50%,IF(M112="Medium",75%,100%))</f>
        <v/>
      </c>
      <c r="K112" s="13" t="n"/>
      <c r="L112" s="13" t="inlineStr">
        <is>
          <t>Simple</t>
        </is>
      </c>
      <c r="M112" s="13" t="inlineStr">
        <is>
          <t>High</t>
        </is>
      </c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2.75" customHeight="1" s="27">
      <c r="A113" s="9">
        <f>ROW()-4</f>
        <v/>
      </c>
      <c r="B113" s="13" t="inlineStr">
        <is>
          <t>Rate Doctor (Review)</t>
        </is>
      </c>
      <c r="C113" s="13" t="inlineStr">
        <is>
          <t>Engagement &amp; Reviews</t>
        </is>
      </c>
      <c r="D113" s="13" t="inlineStr">
        <is>
          <t>Stars + comment after visit. One review per appointment. Persist rating. Updates doctor average.</t>
        </is>
      </c>
      <c r="E113" s="13" t="inlineStr">
        <is>
          <t>ThangNDCE180608</t>
        </is>
      </c>
      <c r="F113" s="14" t="inlineStr">
        <is>
          <t>To Do</t>
        </is>
      </c>
      <c r="G113" s="13" t="n"/>
      <c r="H113" s="13" t="n"/>
      <c r="I113" s="13" t="n"/>
      <c r="J113" s="15">
        <f>IF(L113="Simple",60,IF(L113="Medium",120,240))*IF(M113="Low",50%,IF(M113="Medium",75%,100%))</f>
        <v/>
      </c>
      <c r="K113" s="13" t="n"/>
      <c r="L113" s="13" t="inlineStr">
        <is>
          <t>Simple</t>
        </is>
      </c>
      <c r="M113" s="13" t="inlineStr">
        <is>
          <t>High</t>
        </is>
      </c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2.75" customHeight="1" s="27">
      <c r="A114" s="9">
        <f>ROW()-4</f>
        <v/>
      </c>
      <c r="B114" s="13" t="inlineStr">
        <is>
          <t>Doctor Reviews List</t>
        </is>
      </c>
      <c r="C114" s="13" t="inlineStr">
        <is>
          <t>Engagement &amp; Reviews</t>
        </is>
      </c>
      <c r="D114" s="13" t="inlineStr">
        <is>
          <t>Public list on profile. Newest first.</t>
        </is>
      </c>
      <c r="E114" s="13" t="inlineStr">
        <is>
          <t>TruongNTCE180140</t>
        </is>
      </c>
      <c r="F114" s="14" t="inlineStr">
        <is>
          <t>To Do</t>
        </is>
      </c>
      <c r="G114" s="13" t="n"/>
      <c r="H114" s="13" t="n"/>
      <c r="I114" s="13" t="n"/>
      <c r="J114" s="15">
        <f>IF(L114="Simple",60,IF(L114="Medium",120,240))*IF(M114="Low",50%,IF(M114="Medium",75%,100%))</f>
        <v/>
      </c>
      <c r="K114" s="13" t="n"/>
      <c r="L114" s="13" t="inlineStr">
        <is>
          <t>Simple</t>
        </is>
      </c>
      <c r="M114" s="13" t="inlineStr">
        <is>
          <t>High</t>
        </is>
      </c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2.75" customHeight="1" s="27">
      <c r="A115" s="9">
        <f>ROW()-4</f>
        <v/>
      </c>
      <c r="B115" s="13" t="inlineStr">
        <is>
          <t>Notification Preferences</t>
        </is>
      </c>
      <c r="C115" s="13" t="inlineStr">
        <is>
          <t>Notifications</t>
        </is>
      </c>
      <c r="D115" s="13" t="inlineStr">
        <is>
          <t>Toggle email/push categories. Save preferences.</t>
        </is>
      </c>
      <c r="E115" s="13" t="inlineStr">
        <is>
          <t>ThangNDCE180608</t>
        </is>
      </c>
      <c r="F115" s="14" t="inlineStr">
        <is>
          <t>To Do</t>
        </is>
      </c>
      <c r="G115" s="13" t="n"/>
      <c r="H115" s="13" t="n"/>
      <c r="I115" s="13" t="n"/>
      <c r="J115" s="15">
        <f>IF(L115="Simple",60,IF(L115="Medium",120,240))*IF(M115="Low",50%,IF(M115="Medium",75%,100%))</f>
        <v/>
      </c>
      <c r="K115" s="13" t="n"/>
      <c r="L115" s="13" t="inlineStr">
        <is>
          <t>Simple</t>
        </is>
      </c>
      <c r="M115" s="13" t="inlineStr">
        <is>
          <t>High</t>
        </is>
      </c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2.75" customHeight="1" s="27">
      <c r="A116" s="9">
        <f>ROW()-4</f>
        <v/>
      </c>
      <c r="B116" s="13" t="inlineStr">
        <is>
          <t>Notification Inbox</t>
        </is>
      </c>
      <c r="C116" s="13" t="inlineStr">
        <is>
          <t>Notifications</t>
        </is>
      </c>
      <c r="D116" s="13" t="inlineStr">
        <is>
          <t>List with read/unread. Mark read.</t>
        </is>
      </c>
      <c r="E116" s="13" t="inlineStr">
        <is>
          <t>ThangDQCE182036</t>
        </is>
      </c>
      <c r="F116" s="14" t="inlineStr">
        <is>
          <t>To Do</t>
        </is>
      </c>
      <c r="G116" s="13" t="n"/>
      <c r="H116" s="13" t="n"/>
      <c r="I116" s="13" t="n"/>
      <c r="J116" s="15">
        <f>IF(L116="Simple",60,IF(L116="Medium",120,240))*IF(M116="Low",50%,IF(M116="Medium",75%,100%))</f>
        <v/>
      </c>
      <c r="K116" s="13" t="n"/>
      <c r="L116" s="13" t="inlineStr">
        <is>
          <t>Simple</t>
        </is>
      </c>
      <c r="M116" s="13" t="inlineStr">
        <is>
          <t>High</t>
        </is>
      </c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2.75" customHeight="1" s="27">
      <c r="A117" s="9">
        <f>ROW()-4</f>
        <v/>
      </c>
      <c r="B117" s="13" t="inlineStr">
        <is>
          <t>Mark Notification as Read</t>
        </is>
      </c>
      <c r="C117" s="13" t="inlineStr">
        <is>
          <t>Notifications</t>
        </is>
      </c>
      <c r="D117" s="13" t="inlineStr">
        <is>
          <t>Single or bulk. Unread count updates.</t>
        </is>
      </c>
      <c r="E117" s="13" t="inlineStr">
        <is>
          <t>TanhNTCE182341</t>
        </is>
      </c>
      <c r="F117" s="14" t="inlineStr">
        <is>
          <t>To Do</t>
        </is>
      </c>
      <c r="G117" s="13" t="n"/>
      <c r="H117" s="13" t="n"/>
      <c r="I117" s="13" t="n"/>
      <c r="J117" s="15">
        <f>IF(L117="Simple",60,IF(L117="Medium",120,240))*IF(M117="Low",50%,IF(M117="Medium",75%,100%))</f>
        <v/>
      </c>
      <c r="K117" s="13" t="n"/>
      <c r="L117" s="13" t="inlineStr">
        <is>
          <t>Simple</t>
        </is>
      </c>
      <c r="M117" s="13" t="inlineStr">
        <is>
          <t>High</t>
        </is>
      </c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2.75" customHeight="1" s="27">
      <c r="A118" s="9">
        <f>ROW()-4</f>
        <v/>
      </c>
      <c r="B118" s="13" t="inlineStr">
        <is>
          <t>Send Appointment Reminder</t>
        </is>
      </c>
      <c r="C118" s="13" t="inlineStr">
        <is>
          <t>Notifications</t>
        </is>
      </c>
      <c r="D118" s="13" t="inlineStr">
        <is>
          <t>Scheduled job before appointment. Logged in notification + email stub.</t>
        </is>
      </c>
      <c r="E118" s="13" t="inlineStr">
        <is>
          <t>KhoaNNCE181612</t>
        </is>
      </c>
      <c r="F118" s="14" t="inlineStr">
        <is>
          <t>To Do</t>
        </is>
      </c>
      <c r="G118" s="13" t="n"/>
      <c r="H118" s="13" t="n"/>
      <c r="I118" s="13" t="n"/>
      <c r="J118" s="15">
        <f>IF(L118="Simple",60,IF(L118="Medium",120,240))*IF(M118="Low",50%,IF(M118="Medium",75%,100%))</f>
        <v/>
      </c>
      <c r="K118" s="13" t="n"/>
      <c r="L118" s="13" t="inlineStr">
        <is>
          <t>Simple</t>
        </is>
      </c>
      <c r="M118" s="13" t="inlineStr">
        <is>
          <t>High</t>
        </is>
      </c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2.75" customHeight="1" s="27">
      <c r="A119" s="9">
        <f>ROW()-4</f>
        <v/>
      </c>
      <c r="B119" s="13" t="inlineStr">
        <is>
          <t>Send Results Ready Notification</t>
        </is>
      </c>
      <c r="C119" s="13" t="inlineStr">
        <is>
          <t>Notifications</t>
        </is>
      </c>
      <c r="D119" s="13" t="inlineStr">
        <is>
          <t>When PDF/lab ready. Links to detail.</t>
        </is>
      </c>
      <c r="E119" s="13" t="inlineStr">
        <is>
          <t>TruongNTCE180140</t>
        </is>
      </c>
      <c r="F119" s="14" t="inlineStr">
        <is>
          <t>To Do</t>
        </is>
      </c>
      <c r="G119" s="13" t="n"/>
      <c r="H119" s="13" t="n"/>
      <c r="I119" s="13" t="n"/>
      <c r="J119" s="15">
        <f>IF(L119="Simple",60,IF(L119="Medium",120,240))*IF(M119="Low",50%,IF(M119="Medium",75%,100%))</f>
        <v/>
      </c>
      <c r="K119" s="13" t="n"/>
      <c r="L119" s="13" t="inlineStr">
        <is>
          <t>Simple</t>
        </is>
      </c>
      <c r="M119" s="13" t="inlineStr">
        <is>
          <t>High</t>
        </is>
      </c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2.75" customHeight="1" s="27">
      <c r="A120" s="9">
        <f>ROW()-4</f>
        <v/>
      </c>
      <c r="B120" s="13" t="inlineStr">
        <is>
          <t>Send Booking Confirmation Email</t>
        </is>
      </c>
      <c r="C120" s="13" t="inlineStr">
        <is>
          <t>Notifications</t>
        </is>
      </c>
      <c r="D120" s="13" t="inlineStr">
        <is>
          <t>On successful booking. Contains reference + QR.</t>
        </is>
      </c>
      <c r="E120" s="13" t="inlineStr">
        <is>
          <t>ThangNDCE180608</t>
        </is>
      </c>
      <c r="F120" s="14" t="inlineStr">
        <is>
          <t>To Do</t>
        </is>
      </c>
      <c r="G120" s="13" t="n"/>
      <c r="H120" s="13" t="n"/>
      <c r="I120" s="13" t="n"/>
      <c r="J120" s="15">
        <f>IF(L120="Simple",60,IF(L120="Medium",120,240))*IF(M120="Low",50%,IF(M120="Medium",75%,100%))</f>
        <v/>
      </c>
      <c r="K120" s="13" t="n"/>
      <c r="L120" s="13" t="inlineStr">
        <is>
          <t>Simple</t>
        </is>
      </c>
      <c r="M120" s="13" t="inlineStr">
        <is>
          <t>High</t>
        </is>
      </c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2.75" customHeight="1" s="27">
      <c r="A121" s="9">
        <f>ROW()-4</f>
        <v/>
      </c>
      <c r="B121" s="13" t="inlineStr">
        <is>
          <t>Submit Complaint</t>
        </is>
      </c>
      <c r="C121" s="13" t="inlineStr">
        <is>
          <t>Complaint Management</t>
        </is>
      </c>
      <c r="D121" s="13" t="inlineStr">
        <is>
          <t>Category, description, optional attachment. Ticket type required. Ticket created with unique id. Confirmation shown.</t>
        </is>
      </c>
      <c r="E121" s="13" t="inlineStr">
        <is>
          <t>ThangDQCE182036</t>
        </is>
      </c>
      <c r="F121" s="14" t="inlineStr">
        <is>
          <t>To Do</t>
        </is>
      </c>
      <c r="G121" s="13" t="n"/>
      <c r="H121" s="13" t="n"/>
      <c r="I121" s="13" t="n"/>
      <c r="J121" s="15">
        <f>IF(L121="Simple",60,IF(L121="Medium",120,240))*IF(M121="Low",50%,IF(M121="Medium",75%,100%))</f>
        <v/>
      </c>
      <c r="K121" s="13" t="n"/>
      <c r="L121" s="13" t="inlineStr">
        <is>
          <t>Simple</t>
        </is>
      </c>
      <c r="M121" s="13" t="inlineStr">
        <is>
          <t>High</t>
        </is>
      </c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2.75" customHeight="1" s="27">
      <c r="A122" s="9">
        <f>ROW()-4</f>
        <v/>
      </c>
      <c r="B122" s="13" t="inlineStr">
        <is>
          <t>My Complaints List</t>
        </is>
      </c>
      <c r="C122" s="13" t="inlineStr">
        <is>
          <t>Complaint Management</t>
        </is>
      </c>
      <c r="D122" s="13" t="inlineStr">
        <is>
          <t>Status column and dates. Filter by status.</t>
        </is>
      </c>
      <c r="E122" s="13" t="inlineStr">
        <is>
          <t>ThangDQCE182036</t>
        </is>
      </c>
      <c r="F122" s="14" t="inlineStr">
        <is>
          <t>To Do</t>
        </is>
      </c>
      <c r="G122" s="13" t="n"/>
      <c r="H122" s="13" t="n"/>
      <c r="I122" s="13" t="n"/>
      <c r="J122" s="15">
        <f>IF(L122="Simple",60,IF(L122="Medium",120,240))*IF(M122="Low",50%,IF(M122="Medium",75%,100%))</f>
        <v/>
      </c>
      <c r="K122" s="13" t="inlineStr">
        <is>
          <t>Có Filter/Sort</t>
        </is>
      </c>
      <c r="L122" s="13" t="inlineStr">
        <is>
          <t>Medium</t>
        </is>
      </c>
      <c r="M122" s="13" t="inlineStr">
        <is>
          <t>High</t>
        </is>
      </c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2.75" customHeight="1" s="27">
      <c r="A123" s="9">
        <f>ROW()-4</f>
        <v/>
      </c>
      <c r="B123" s="13" t="inlineStr">
        <is>
          <t>Complaint Detail (Patient)</t>
        </is>
      </c>
      <c r="C123" s="13" t="inlineStr">
        <is>
          <t>Complaint Management</t>
        </is>
      </c>
      <c r="D123" s="13" t="inlineStr">
        <is>
          <t>Thread with admin replies. Read-only for patient.</t>
        </is>
      </c>
      <c r="E123" s="13" t="inlineStr">
        <is>
          <t>TanhNTCE182341</t>
        </is>
      </c>
      <c r="F123" s="14" t="inlineStr">
        <is>
          <t>To Do</t>
        </is>
      </c>
      <c r="G123" s="13" t="n"/>
      <c r="H123" s="13" t="n"/>
      <c r="I123" s="13" t="n"/>
      <c r="J123" s="15">
        <f>IF(L123="Simple",60,IF(L123="Medium",120,240))*IF(M123="Low",50%,IF(M123="Medium",75%,100%))</f>
        <v/>
      </c>
      <c r="K123" s="13" t="n"/>
      <c r="L123" s="13" t="inlineStr">
        <is>
          <t>Simple</t>
        </is>
      </c>
      <c r="M123" s="13" t="inlineStr">
        <is>
          <t>High</t>
        </is>
      </c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2.75" customHeight="1" s="27">
      <c r="A124" s="9">
        <f>ROW()-4</f>
        <v/>
      </c>
      <c r="B124" s="13" t="inlineStr">
        <is>
          <t>Complaints List (Admin)</t>
        </is>
      </c>
      <c r="C124" s="13" t="inlineStr">
        <is>
          <t>Complaint Management</t>
        </is>
      </c>
      <c r="D124" s="13" t="inlineStr">
        <is>
          <t>Filter status and date. Assignee column optional.</t>
        </is>
      </c>
      <c r="E124" s="13" t="inlineStr">
        <is>
          <t>KhoaNNCE181612</t>
        </is>
      </c>
      <c r="F124" s="14" t="inlineStr">
        <is>
          <t>To Do</t>
        </is>
      </c>
      <c r="G124" s="13" t="n"/>
      <c r="H124" s="13" t="n"/>
      <c r="I124" s="13" t="n"/>
      <c r="J124" s="15">
        <f>IF(L124="Simple",60,IF(L124="Medium",120,240))*IF(M124="Low",50%,IF(M124="Medium",75%,100%))</f>
        <v/>
      </c>
      <c r="K124" s="13" t="n"/>
      <c r="L124" s="13" t="inlineStr">
        <is>
          <t>Simple</t>
        </is>
      </c>
      <c r="M124" s="13" t="inlineStr">
        <is>
          <t>High</t>
        </is>
      </c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2.75" customHeight="1" s="27">
      <c r="A125" s="9">
        <f>ROW()-4</f>
        <v/>
      </c>
      <c r="B125" s="13" t="inlineStr">
        <is>
          <t>Complaint Detail (Admin)</t>
        </is>
      </c>
      <c r="C125" s="13" t="inlineStr">
        <is>
          <t>Complaint Management</t>
        </is>
      </c>
      <c r="D125" s="13" t="inlineStr">
        <is>
          <t>Full thread and patient info. Status dropdown.</t>
        </is>
      </c>
      <c r="E125" s="13" t="inlineStr">
        <is>
          <t>TruongNTCE180140</t>
        </is>
      </c>
      <c r="F125" s="14" t="inlineStr">
        <is>
          <t>To Do</t>
        </is>
      </c>
      <c r="G125" s="13" t="n"/>
      <c r="H125" s="13" t="n"/>
      <c r="I125" s="13" t="n"/>
      <c r="J125" s="15">
        <f>IF(L125="Simple",60,IF(L125="Medium",120,240))*IF(M125="Low",50%,IF(M125="Medium",75%,100%))</f>
        <v/>
      </c>
      <c r="K125" s="13" t="n"/>
      <c r="L125" s="13" t="inlineStr">
        <is>
          <t>Simple</t>
        </is>
      </c>
      <c r="M125" s="13" t="inlineStr">
        <is>
          <t>High</t>
        </is>
      </c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2.75" customHeight="1" s="27">
      <c r="A126" s="9">
        <f>ROW()-4</f>
        <v/>
      </c>
      <c r="B126" s="13" t="inlineStr">
        <is>
          <t>Reply to Complaint</t>
        </is>
      </c>
      <c r="C126" s="13" t="inlineStr">
        <is>
          <t>Complaint Management</t>
        </is>
      </c>
      <c r="D126" s="13" t="inlineStr">
        <is>
          <t>Admin reply saved to thread. Patient notified stub.</t>
        </is>
      </c>
      <c r="E126" s="13" t="inlineStr">
        <is>
          <t>TanhNTCE182341</t>
        </is>
      </c>
      <c r="F126" s="14" t="inlineStr">
        <is>
          <t>To Do</t>
        </is>
      </c>
      <c r="G126" s="13" t="n"/>
      <c r="H126" s="13" t="n"/>
      <c r="I126" s="13" t="n"/>
      <c r="J126" s="15">
        <f>IF(L126="Simple",60,IF(L126="Medium",120,240))*IF(M126="Low",50%,IF(M126="Medium",75%,100%))</f>
        <v/>
      </c>
      <c r="K126" s="13" t="n"/>
      <c r="L126" s="13" t="inlineStr">
        <is>
          <t>Medium</t>
        </is>
      </c>
      <c r="M126" s="13" t="inlineStr">
        <is>
          <t>High</t>
        </is>
      </c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2.75" customHeight="1" s="27">
      <c r="A127" s="9">
        <f>ROW()-4</f>
        <v/>
      </c>
      <c r="B127" s="13" t="inlineStr">
        <is>
          <t>Update Complaint Status</t>
        </is>
      </c>
      <c r="C127" s="13" t="inlineStr">
        <is>
          <t>Complaint Management</t>
        </is>
      </c>
      <c r="D127" s="13" t="inlineStr">
        <is>
          <t>Open / in progress / resolved. Audit timestamp.</t>
        </is>
      </c>
      <c r="E127" s="13" t="inlineStr">
        <is>
          <t>ThangNDCE180608</t>
        </is>
      </c>
      <c r="F127" s="14" t="inlineStr">
        <is>
          <t>To Do</t>
        </is>
      </c>
      <c r="G127" s="13" t="n"/>
      <c r="H127" s="13" t="n"/>
      <c r="I127" s="13" t="n"/>
      <c r="J127" s="15">
        <f>IF(L127="Simple",60,IF(L127="Medium",120,240))*IF(M127="Low",50%,IF(M127="Medium",75%,100%))</f>
        <v/>
      </c>
      <c r="K127" s="13" t="n"/>
      <c r="L127" s="13" t="inlineStr">
        <is>
          <t>Simple</t>
        </is>
      </c>
      <c r="M127" s="13" t="inlineStr">
        <is>
          <t>High</t>
        </is>
      </c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2.75" customHeight="1" s="27">
      <c r="A128" s="9">
        <f>ROW()-4</f>
        <v/>
      </c>
      <c r="B128" s="13" t="inlineStr">
        <is>
          <t>Revenue Dashboard</t>
        </is>
      </c>
      <c r="C128" s="13" t="inlineStr">
        <is>
          <t>Revenue &amp; Analytics</t>
        </is>
      </c>
      <c r="D128" s="13" t="inlineStr">
        <is>
          <t>Charts by day/week/month. Default last 30 days.</t>
        </is>
      </c>
      <c r="E128" s="13" t="inlineStr">
        <is>
          <t>TanhNTCE182341</t>
        </is>
      </c>
      <c r="F128" s="14" t="inlineStr">
        <is>
          <t>To Do</t>
        </is>
      </c>
      <c r="G128" s="13" t="n"/>
      <c r="H128" s="13" t="n"/>
      <c r="I128" s="13" t="n"/>
      <c r="J128" s="15">
        <f>IF(L128="Simple",60,IF(L128="Medium",120,240))*IF(M128="Low",50%,IF(M128="Medium",75%,100%))</f>
        <v/>
      </c>
      <c r="K128" s="13" t="inlineStr">
        <is>
          <t>Mỗi chart 60 LOCs</t>
        </is>
      </c>
      <c r="L128" s="13" t="inlineStr">
        <is>
          <t>Complex</t>
        </is>
      </c>
      <c r="M128" s="13" t="inlineStr">
        <is>
          <t>High</t>
        </is>
      </c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2.75" customHeight="1" s="27">
      <c r="A129" s="9">
        <f>ROW()-4</f>
        <v/>
      </c>
      <c r="B129" s="13" t="inlineStr">
        <is>
          <t>Filter Revenue by Date Range</t>
        </is>
      </c>
      <c r="C129" s="13" t="inlineStr">
        <is>
          <t>Revenue &amp; Analytics</t>
        </is>
      </c>
      <c r="D129" s="13" t="inlineStr">
        <is>
          <t>From/to date pickers. Chart refreshes.</t>
        </is>
      </c>
      <c r="E129" s="13" t="inlineStr">
        <is>
          <t>ThangDQCE182036</t>
        </is>
      </c>
      <c r="F129" s="14" t="inlineStr">
        <is>
          <t>To Do</t>
        </is>
      </c>
      <c r="G129" s="13" t="n"/>
      <c r="H129" s="13" t="n"/>
      <c r="I129" s="13" t="n"/>
      <c r="J129" s="15">
        <f>IF(L129="Simple",60,IF(L129="Medium",120,240))*IF(M129="Low",50%,IF(M129="Medium",75%,100%))</f>
        <v/>
      </c>
      <c r="K129" s="13" t="n"/>
      <c r="L129" s="13" t="inlineStr">
        <is>
          <t>Simple</t>
        </is>
      </c>
      <c r="M129" s="13" t="inlineStr">
        <is>
          <t>High</t>
        </is>
      </c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2.75" customHeight="1" s="27">
      <c r="A130" s="9">
        <f>ROW()-4</f>
        <v/>
      </c>
      <c r="B130" s="13" t="inlineStr">
        <is>
          <t>Filter Revenue by Doctor</t>
        </is>
      </c>
      <c r="C130" s="13" t="inlineStr">
        <is>
          <t>Revenue &amp; Analytics</t>
        </is>
      </c>
      <c r="D130" s="13" t="inlineStr">
        <is>
          <t>Dropdown doctor filter. Combines with date.</t>
        </is>
      </c>
      <c r="E130" s="13" t="inlineStr">
        <is>
          <t>TanhNTCE182341</t>
        </is>
      </c>
      <c r="F130" s="14" t="inlineStr">
        <is>
          <t>To Do</t>
        </is>
      </c>
      <c r="G130" s="13" t="n"/>
      <c r="H130" s="13" t="n"/>
      <c r="I130" s="13" t="n"/>
      <c r="J130" s="15">
        <f>IF(L130="Simple",60,IF(L130="Medium",120,240))*IF(M130="Low",50%,IF(M130="Medium",75%,100%))</f>
        <v/>
      </c>
      <c r="K130" s="13" t="n"/>
      <c r="L130" s="13" t="inlineStr">
        <is>
          <t>Simple</t>
        </is>
      </c>
      <c r="M130" s="13" t="inlineStr">
        <is>
          <t>High</t>
        </is>
      </c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2.75" customHeight="1" s="27">
      <c r="A131" s="9">
        <f>ROW()-4</f>
        <v/>
      </c>
      <c r="B131" s="13" t="inlineStr">
        <is>
          <t>Export Revenue Report Excel</t>
        </is>
      </c>
      <c r="C131" s="13" t="inlineStr">
        <is>
          <t>Revenue &amp; Analytics</t>
        </is>
      </c>
      <c r="D131" s="13" t="inlineStr">
        <is>
          <t>Download xlsx from filtered view. Matches on-screen totals.</t>
        </is>
      </c>
      <c r="E131" s="13" t="inlineStr">
        <is>
          <t>KhoaNNCE181612</t>
        </is>
      </c>
      <c r="F131" s="14" t="inlineStr">
        <is>
          <t>To Do</t>
        </is>
      </c>
      <c r="G131" s="13" t="n"/>
      <c r="H131" s="13" t="n"/>
      <c r="I131" s="13" t="n"/>
      <c r="J131" s="15">
        <f>IF(L131="Simple",60,IF(L131="Medium",120,240))*IF(M131="Low",50%,IF(M131="Medium",75%,100%))</f>
        <v/>
      </c>
      <c r="K131" s="13" t="n"/>
      <c r="L131" s="13" t="inlineStr">
        <is>
          <t>Medium</t>
        </is>
      </c>
      <c r="M131" s="13" t="inlineStr">
        <is>
          <t>High</t>
        </is>
      </c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2.75" customHeight="1" s="27">
      <c r="A132" s="9">
        <f>ROW()-4</f>
        <v/>
      </c>
      <c r="B132" s="13" t="inlineStr">
        <is>
          <t>Branch List</t>
        </is>
      </c>
      <c r="C132" s="13" t="inlineStr">
        <is>
          <t>Branch Locator</t>
        </is>
      </c>
      <c r="D132" s="13" t="inlineStr">
        <is>
          <t>Addresses, hours, phone. Link to detail.</t>
        </is>
      </c>
      <c r="E132" s="13" t="inlineStr">
        <is>
          <t>KhoaNNCE181612</t>
        </is>
      </c>
      <c r="F132" s="14" t="inlineStr">
        <is>
          <t>To Do</t>
        </is>
      </c>
      <c r="G132" s="13" t="n"/>
      <c r="H132" s="13" t="n"/>
      <c r="I132" s="13" t="n"/>
      <c r="J132" s="15">
        <f>IF(L132="Simple",60,IF(L132="Medium",120,240))*IF(M132="Low",50%,IF(M132="Medium",75%,100%))</f>
        <v/>
      </c>
      <c r="K132" s="13" t="n"/>
      <c r="L132" s="13" t="inlineStr">
        <is>
          <t>Simple</t>
        </is>
      </c>
      <c r="M132" s="13" t="inlineStr">
        <is>
          <t>High</t>
        </is>
      </c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2.75" customHeight="1" s="27">
      <c r="A133" s="9">
        <f>ROW()-4</f>
        <v/>
      </c>
      <c r="B133" s="13" t="inlineStr">
        <is>
          <t>Branch Detail</t>
        </is>
      </c>
      <c r="C133" s="13" t="inlineStr">
        <is>
          <t>Branch Locator</t>
        </is>
      </c>
      <c r="D133" s="13" t="inlineStr">
        <is>
          <t>Map embed and contact. Directions link.</t>
        </is>
      </c>
      <c r="E133" s="13" t="inlineStr">
        <is>
          <t>TruongNTCE180140</t>
        </is>
      </c>
      <c r="F133" s="14" t="inlineStr">
        <is>
          <t>To Do</t>
        </is>
      </c>
      <c r="G133" s="13" t="n"/>
      <c r="H133" s="13" t="n"/>
      <c r="I133" s="13" t="n"/>
      <c r="J133" s="15">
        <f>IF(L133="Simple",60,IF(L133="Medium",120,240))*IF(M133="Low",50%,IF(M133="Medium",75%,100%))</f>
        <v/>
      </c>
      <c r="K133" s="13" t="n"/>
      <c r="L133" s="13" t="inlineStr">
        <is>
          <t>Simple</t>
        </is>
      </c>
      <c r="M133" s="13" t="inlineStr">
        <is>
          <t>High</t>
        </is>
      </c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2.75" customHeight="1" s="27">
      <c r="A134" s="9">
        <f>ROW()-4</f>
        <v/>
      </c>
      <c r="B134" s="13" t="inlineStr">
        <is>
          <t>Branch Map</t>
        </is>
      </c>
      <c r="C134" s="13" t="inlineStr">
        <is>
          <t>Branch Locator</t>
        </is>
      </c>
      <c r="D134" s="13" t="inlineStr">
        <is>
          <t>Markers for all branches. Click marker opens detail.</t>
        </is>
      </c>
      <c r="E134" s="13" t="inlineStr">
        <is>
          <t>ThangNDCE180608</t>
        </is>
      </c>
      <c r="F134" s="14" t="inlineStr">
        <is>
          <t>To Do</t>
        </is>
      </c>
      <c r="G134" s="13" t="n"/>
      <c r="H134" s="13" t="n"/>
      <c r="I134" s="13" t="n"/>
      <c r="J134" s="15">
        <f>IF(L134="Simple",60,IF(L134="Medium",120,240))*IF(M134="Low",50%,IF(M134="Medium",75%,100%))</f>
        <v/>
      </c>
      <c r="K134" s="13" t="n"/>
      <c r="L134" s="13" t="inlineStr">
        <is>
          <t>Simple</t>
        </is>
      </c>
      <c r="M134" s="13" t="inlineStr">
        <is>
          <t>High</t>
        </is>
      </c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2.75" customHeight="1" s="27">
      <c r="A135" s="9">
        <f>ROW()-4</f>
        <v/>
      </c>
      <c r="B135" s="13" t="inlineStr">
        <is>
          <t>Patient Dashboard</t>
        </is>
      </c>
      <c r="C135" s="13" t="inlineStr">
        <is>
          <t>Shared UI</t>
        </is>
      </c>
      <c r="D135" s="13" t="inlineStr">
        <is>
          <t>Shortcuts: book, appointments, wallet, profile. Only patient menu items visible.</t>
        </is>
      </c>
      <c r="E135" s="13" t="inlineStr">
        <is>
          <t>ThangDQCE182036</t>
        </is>
      </c>
      <c r="F135" s="14" t="inlineStr">
        <is>
          <t>To Do</t>
        </is>
      </c>
      <c r="G135" s="13" t="n"/>
      <c r="H135" s="13" t="n"/>
      <c r="I135" s="13" t="n"/>
      <c r="J135" s="15">
        <f>IF(L135="Simple",60,IF(L135="Medium",120,240))*IF(M135="Low",50%,IF(M135="Medium",75%,100%))</f>
        <v/>
      </c>
      <c r="K135" s="13" t="n"/>
      <c r="L135" s="13" t="inlineStr">
        <is>
          <t>Simple</t>
        </is>
      </c>
      <c r="M135" s="13" t="inlineStr">
        <is>
          <t>High</t>
        </is>
      </c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2.75" customHeight="1" s="27">
      <c r="A136" s="9">
        <f>ROW()-4</f>
        <v/>
      </c>
      <c r="B136" s="13" t="inlineStr">
        <is>
          <t>Admin Dashboard</t>
        </is>
      </c>
      <c r="C136" s="13" t="inlineStr">
        <is>
          <t>Shared UI</t>
        </is>
      </c>
      <c r="D136" s="13" t="inlineStr">
        <is>
          <t>Cards: users, doctors, appointments today. Admin-only routes enforced.</t>
        </is>
      </c>
      <c r="E136" s="13" t="inlineStr">
        <is>
          <t>TanhNTCE182341</t>
        </is>
      </c>
      <c r="F136" s="14" t="inlineStr">
        <is>
          <t>To Do</t>
        </is>
      </c>
      <c r="G136" s="13" t="n"/>
      <c r="H136" s="13" t="n"/>
      <c r="I136" s="13" t="n"/>
      <c r="J136" s="15">
        <f>IF(L136="Simple",60,IF(L136="Medium",120,240))*IF(M136="Low",50%,IF(M136="Medium",75%,100%))</f>
        <v/>
      </c>
      <c r="K136" s="13" t="n"/>
      <c r="L136" s="13" t="inlineStr">
        <is>
          <t>Simple</t>
        </is>
      </c>
      <c r="M136" s="13" t="inlineStr">
        <is>
          <t>High</t>
        </is>
      </c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2.75" customHeight="1" s="27">
      <c r="A137" s="25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2.75" customHeight="1" s="27">
      <c r="A138" s="25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2.75" customHeight="1" s="27">
      <c r="A139" s="25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2.75" customHeight="1" s="27">
      <c r="A140" s="25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2.75" customHeight="1" s="27">
      <c r="A141" s="25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2.75" customHeight="1" s="27">
      <c r="A142" s="25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2.75" customHeight="1" s="27">
      <c r="A143" s="25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2.75" customHeight="1" s="27">
      <c r="A144" s="25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2.75" customHeight="1" s="27">
      <c r="A145" s="25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2.75" customHeight="1" s="27">
      <c r="A146" s="25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2.75" customHeight="1" s="27">
      <c r="A147" s="25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2.75" customHeight="1" s="27">
      <c r="A148" s="25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2.75" customHeight="1" s="27">
      <c r="A149" s="25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2.75" customHeight="1" s="27">
      <c r="A150" s="25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2.75" customHeight="1" s="27">
      <c r="A151" s="25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2.75" customHeight="1" s="27">
      <c r="A152" s="25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2.75" customHeight="1" s="27">
      <c r="A153" s="25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2.75" customHeight="1" s="27">
      <c r="A154" s="25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2.75" customHeight="1" s="27">
      <c r="A155" s="25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2.75" customHeight="1" s="27">
      <c r="A156" s="25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2.75" customHeight="1" s="27">
      <c r="A157" s="25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2.75" customHeight="1" s="27">
      <c r="A158" s="25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2.75" customHeight="1" s="27">
      <c r="A159" s="25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2.75" customHeight="1" s="27">
      <c r="A160" s="25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2.75" customHeight="1" s="27">
      <c r="A161" s="25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2.75" customHeight="1" s="27">
      <c r="A162" s="25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2.75" customHeight="1" s="27">
      <c r="A163" s="25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2.75" customHeight="1" s="27">
      <c r="A164" s="25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2.75" customHeight="1" s="27">
      <c r="A165" s="25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2.75" customHeight="1" s="27">
      <c r="A166" s="25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2.75" customHeight="1" s="27">
      <c r="A167" s="25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2.75" customHeight="1" s="27">
      <c r="A168" s="25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2.75" customHeight="1" s="27">
      <c r="A169" s="25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2.75" customHeight="1" s="27">
      <c r="A170" s="25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2.75" customHeight="1" s="27">
      <c r="A171" s="25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2.75" customHeight="1" s="27">
      <c r="A172" s="25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2.75" customHeight="1" s="27">
      <c r="A173" s="25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2.75" customHeight="1" s="27">
      <c r="A174" s="25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2.75" customHeight="1" s="27">
      <c r="A175" s="25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2.75" customHeight="1" s="27">
      <c r="A176" s="25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2.75" customHeight="1" s="27">
      <c r="A177" s="25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2.75" customHeight="1" s="27">
      <c r="A178" s="25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2.75" customHeight="1" s="27">
      <c r="A179" s="25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2.75" customHeight="1" s="27">
      <c r="A180" s="25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2.75" customHeight="1" s="27">
      <c r="A181" s="25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2.75" customHeight="1" s="27">
      <c r="A182" s="25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2.75" customHeight="1" s="27">
      <c r="A183" s="25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2.75" customHeight="1" s="27">
      <c r="A184" s="25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2.75" customHeight="1" s="27">
      <c r="A185" s="25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2.75" customHeight="1" s="27">
      <c r="A186" s="25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2.75" customHeight="1" s="27">
      <c r="A187" s="25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2.75" customHeight="1" s="27">
      <c r="A188" s="25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2.75" customHeight="1" s="27">
      <c r="A189" s="25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2.75" customHeight="1" s="27">
      <c r="A190" s="25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2.75" customHeight="1" s="27">
      <c r="A191" s="25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2.75" customHeight="1" s="27">
      <c r="A192" s="25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2.75" customHeight="1" s="27">
      <c r="A193" s="25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2.75" customHeight="1" s="27">
      <c r="A194" s="25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2.75" customHeight="1" s="27">
      <c r="A195" s="25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2.75" customHeight="1" s="27">
      <c r="A196" s="25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2.75" customHeight="1" s="27">
      <c r="A197" s="25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2.75" customHeight="1" s="27">
      <c r="A198" s="25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2.75" customHeight="1" s="27">
      <c r="A199" s="25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2.75" customHeight="1" s="27">
      <c r="A200" s="25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2.75" customHeight="1" s="27">
      <c r="A201" s="25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2.75" customHeight="1" s="27">
      <c r="A202" s="25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2.75" customHeight="1" s="27">
      <c r="A203" s="25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2.75" customHeight="1" s="27">
      <c r="A204" s="25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2.75" customHeight="1" s="27">
      <c r="A205" s="25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2.75" customHeight="1" s="27">
      <c r="A206" s="25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2.75" customHeight="1" s="27">
      <c r="A207" s="25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2.75" customHeight="1" s="27">
      <c r="A208" s="25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2.75" customHeight="1" s="27">
      <c r="A209" s="25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2.75" customHeight="1" s="27">
      <c r="A210" s="25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2.75" customHeight="1" s="27">
      <c r="A211" s="25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2.75" customHeight="1" s="27">
      <c r="A212" s="25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2.75" customHeight="1" s="27">
      <c r="A213" s="25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2.75" customHeight="1" s="27">
      <c r="A214" s="25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2.75" customHeight="1" s="27">
      <c r="A215" s="25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2.75" customHeight="1" s="27">
      <c r="A216" s="25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2.75" customHeight="1" s="27">
      <c r="A217" s="25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2.75" customHeight="1" s="27">
      <c r="A218" s="25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2.75" customHeight="1" s="27">
      <c r="A219" s="25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2.75" customHeight="1" s="27">
      <c r="A220" s="25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2.75" customHeight="1" s="27">
      <c r="A221" s="25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2.75" customHeight="1" s="27">
      <c r="A222" s="25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2.75" customHeight="1" s="27">
      <c r="A223" s="25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2.75" customHeight="1" s="27">
      <c r="A224" s="25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2.75" customHeight="1" s="27">
      <c r="A225" s="25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2.75" customHeight="1" s="27">
      <c r="A226" s="25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2.75" customHeight="1" s="27">
      <c r="A227" s="25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2.75" customHeight="1" s="27">
      <c r="A228" s="25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2.75" customHeight="1" s="27">
      <c r="A229" s="25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2.75" customHeight="1" s="27">
      <c r="A230" s="25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2.75" customHeight="1" s="27">
      <c r="A231" s="25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2.75" customHeight="1" s="27">
      <c r="A232" s="25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2.75" customHeight="1" s="27">
      <c r="A233" s="25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2.75" customHeight="1" s="27">
      <c r="A234" s="25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2.75" customHeight="1" s="27">
      <c r="A235" s="25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2.75" customHeight="1" s="27">
      <c r="A236" s="25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2.75" customHeight="1" s="27">
      <c r="A237" s="25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2.75" customHeight="1" s="27">
      <c r="A238" s="25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2.75" customHeight="1" s="27">
      <c r="A239" s="25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2.75" customHeight="1" s="27">
      <c r="A240" s="25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2.75" customHeight="1" s="27">
      <c r="A241" s="25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2.75" customHeight="1" s="27">
      <c r="A242" s="25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2.75" customHeight="1" s="27">
      <c r="A243" s="25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2.75" customHeight="1" s="27">
      <c r="A244" s="25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2.75" customHeight="1" s="27">
      <c r="A245" s="25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2.75" customHeight="1" s="27">
      <c r="A246" s="25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2.75" customHeight="1" s="27">
      <c r="A247" s="25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2.75" customHeight="1" s="27">
      <c r="A248" s="25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2.75" customHeight="1" s="27">
      <c r="A249" s="25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2.75" customHeight="1" s="27">
      <c r="A250" s="25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2.75" customHeight="1" s="27">
      <c r="A251" s="25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2.75" customHeight="1" s="27">
      <c r="A252" s="25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2.75" customHeight="1" s="27">
      <c r="A253" s="25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2.75" customHeight="1" s="27">
      <c r="A254" s="25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2.75" customHeight="1" s="27">
      <c r="A255" s="25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2.75" customHeight="1" s="27">
      <c r="A256" s="25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2.75" customHeight="1" s="27">
      <c r="A257" s="25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2.75" customHeight="1" s="27">
      <c r="A258" s="25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2.75" customHeight="1" s="27">
      <c r="A259" s="25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2.75" customHeight="1" s="27">
      <c r="A260" s="25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2.75" customHeight="1" s="27">
      <c r="A261" s="25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2.75" customHeight="1" s="27">
      <c r="A262" s="25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2.75" customHeight="1" s="27">
      <c r="A263" s="25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2.75" customHeight="1" s="27">
      <c r="A264" s="25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2.75" customHeight="1" s="27">
      <c r="A265" s="25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2.75" customHeight="1" s="27">
      <c r="A266" s="25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2.75" customHeight="1" s="27">
      <c r="A267" s="25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2.75" customHeight="1" s="27">
      <c r="A268" s="25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2.75" customHeight="1" s="27">
      <c r="A269" s="25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2.75" customHeight="1" s="27">
      <c r="A270" s="25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2.75" customHeight="1" s="27">
      <c r="A271" s="25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2.75" customHeight="1" s="27">
      <c r="A272" s="25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2.75" customHeight="1" s="27">
      <c r="A273" s="25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2.75" customHeight="1" s="27">
      <c r="A274" s="25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2.75" customHeight="1" s="27">
      <c r="A275" s="25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2.75" customHeight="1" s="27">
      <c r="A276" s="25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2.75" customHeight="1" s="27">
      <c r="A277" s="25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2.75" customHeight="1" s="27">
      <c r="A278" s="25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2.75" customHeight="1" s="27">
      <c r="A279" s="25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2.75" customHeight="1" s="27">
      <c r="A280" s="25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2.75" customHeight="1" s="27">
      <c r="A281" s="25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2.75" customHeight="1" s="27">
      <c r="A282" s="25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2.75" customHeight="1" s="27">
      <c r="A283" s="25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2.75" customHeight="1" s="27">
      <c r="A284" s="25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2.75" customHeight="1" s="27">
      <c r="A285" s="25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2.75" customHeight="1" s="27">
      <c r="A286" s="25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2.75" customHeight="1" s="27">
      <c r="A287" s="25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2.75" customHeight="1" s="27">
      <c r="A288" s="25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2.75" customHeight="1" s="27">
      <c r="A289" s="25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2.75" customHeight="1" s="27">
      <c r="A290" s="25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2.75" customHeight="1" s="27">
      <c r="A291" s="25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2.75" customHeight="1" s="27">
      <c r="A292" s="25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2.75" customHeight="1" s="27">
      <c r="A293" s="25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2.75" customHeight="1" s="27">
      <c r="A294" s="25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2.75" customHeight="1" s="27">
      <c r="A295" s="25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2.75" customHeight="1" s="27">
      <c r="A296" s="25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2.75" customHeight="1" s="27">
      <c r="A297" s="25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2.75" customHeight="1" s="27">
      <c r="A298" s="25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2.75" customHeight="1" s="27">
      <c r="A299" s="25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2.75" customHeight="1" s="27">
      <c r="A300" s="25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2.75" customHeight="1" s="27">
      <c r="A301" s="25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2.75" customHeight="1" s="27">
      <c r="A302" s="25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2.75" customHeight="1" s="27">
      <c r="A303" s="25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2.75" customHeight="1" s="27">
      <c r="A304" s="25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2.75" customHeight="1" s="27">
      <c r="A305" s="25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2.75" customHeight="1" s="27">
      <c r="A306" s="25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2.75" customHeight="1" s="27">
      <c r="A307" s="25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2.75" customHeight="1" s="27">
      <c r="A308" s="25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2.75" customHeight="1" s="27">
      <c r="A309" s="25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2.75" customHeight="1" s="27">
      <c r="A310" s="25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2.75" customHeight="1" s="27">
      <c r="A311" s="25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2.75" customHeight="1" s="27">
      <c r="A312" s="25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2.75" customHeight="1" s="27">
      <c r="A313" s="25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2.75" customHeight="1" s="27">
      <c r="A314" s="25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2.75" customHeight="1" s="27">
      <c r="A315" s="25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2.75" customHeight="1" s="27">
      <c r="A316" s="25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2.75" customHeight="1" s="27">
      <c r="A317" s="25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2.75" customHeight="1" s="27">
      <c r="A318" s="25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2.75" customHeight="1" s="27">
      <c r="A319" s="25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2.75" customHeight="1" s="27">
      <c r="A320" s="25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2.75" customHeight="1" s="27">
      <c r="A321" s="25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2.75" customHeight="1" s="27">
      <c r="A322" s="25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2.75" customHeight="1" s="27">
      <c r="A323" s="25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2.75" customHeight="1" s="27">
      <c r="A324" s="25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2.75" customHeight="1" s="27">
      <c r="A325" s="25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2.75" customHeight="1" s="27">
      <c r="A326" s="25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2.75" customHeight="1" s="27">
      <c r="A327" s="25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2.75" customHeight="1" s="27">
      <c r="A328" s="25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2.75" customHeight="1" s="27">
      <c r="A329" s="25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2.75" customHeight="1" s="27">
      <c r="A330" s="25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2.75" customHeight="1" s="27">
      <c r="A331" s="25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2.75" customHeight="1" s="27">
      <c r="A332" s="25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2.75" customHeight="1" s="27">
      <c r="A333" s="25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2.75" customHeight="1" s="27">
      <c r="A334" s="25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2.75" customHeight="1" s="27">
      <c r="A335" s="25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2.75" customHeight="1" s="27">
      <c r="A336" s="25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2.75" customHeight="1" s="27">
      <c r="A337" s="25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2.75" customHeight="1" s="27">
      <c r="A338" s="25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2.75" customHeight="1" s="27">
      <c r="A339" s="25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2.75" customHeight="1" s="27">
      <c r="A340" s="25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2.75" customHeight="1" s="27">
      <c r="A341" s="25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2.75" customHeight="1" s="27">
      <c r="A342" s="25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2.75" customHeight="1" s="27">
      <c r="A343" s="25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2.75" customHeight="1" s="27">
      <c r="A344" s="25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2.75" customHeight="1" s="27">
      <c r="A345" s="25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2.75" customHeight="1" s="27">
      <c r="A346" s="25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2.75" customHeight="1" s="27">
      <c r="A347" s="25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2.75" customHeight="1" s="27">
      <c r="A348" s="25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2.75" customHeight="1" s="27">
      <c r="A349" s="25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2.75" customHeight="1" s="27">
      <c r="A350" s="25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2.75" customHeight="1" s="27">
      <c r="A351" s="25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2.75" customHeight="1" s="27">
      <c r="A352" s="25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2.75" customHeight="1" s="27">
      <c r="A353" s="25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2.75" customHeight="1" s="27">
      <c r="A354" s="25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2.75" customHeight="1" s="27">
      <c r="A355" s="25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2.75" customHeight="1" s="27">
      <c r="A356" s="25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2.75" customHeight="1" s="27">
      <c r="A357" s="25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2.75" customHeight="1" s="27">
      <c r="A358" s="25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2.75" customHeight="1" s="27">
      <c r="A359" s="25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2.75" customHeight="1" s="27">
      <c r="A360" s="25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2.75" customHeight="1" s="27">
      <c r="A361" s="25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2.75" customHeight="1" s="27">
      <c r="A362" s="25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2.75" customHeight="1" s="27">
      <c r="A363" s="25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2.75" customHeight="1" s="27">
      <c r="A364" s="25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2.75" customHeight="1" s="27">
      <c r="A365" s="25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2.75" customHeight="1" s="27">
      <c r="A366" s="25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2.75" customHeight="1" s="27">
      <c r="A367" s="25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2.75" customHeight="1" s="27">
      <c r="A368" s="25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2.75" customHeight="1" s="27">
      <c r="A369" s="25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2.75" customHeight="1" s="27">
      <c r="A370" s="25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2.75" customHeight="1" s="27">
      <c r="A371" s="25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2.75" customHeight="1" s="27">
      <c r="A372" s="25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2.75" customHeight="1" s="27">
      <c r="A373" s="25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2.75" customHeight="1" s="27">
      <c r="A374" s="25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2.75" customHeight="1" s="27">
      <c r="A375" s="25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2.75" customHeight="1" s="27">
      <c r="A376" s="25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2.75" customHeight="1" s="27">
      <c r="A377" s="25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2.75" customHeight="1" s="27">
      <c r="A378" s="25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2.75" customHeight="1" s="27">
      <c r="A379" s="25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2.75" customHeight="1" s="27">
      <c r="A380" s="25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2.75" customHeight="1" s="27">
      <c r="A381" s="25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2.75" customHeight="1" s="27">
      <c r="A382" s="25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2.75" customHeight="1" s="27">
      <c r="A383" s="25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2.75" customHeight="1" s="27">
      <c r="A384" s="25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2.75" customHeight="1" s="27">
      <c r="A385" s="25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2.75" customHeight="1" s="27">
      <c r="A386" s="25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2.75" customHeight="1" s="27">
      <c r="A387" s="25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2.75" customHeight="1" s="27">
      <c r="A388" s="25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2.75" customHeight="1" s="27">
      <c r="A389" s="25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2.75" customHeight="1" s="27">
      <c r="A390" s="25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2.75" customHeight="1" s="27">
      <c r="A391" s="25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2.75" customHeight="1" s="27">
      <c r="A392" s="25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2.75" customHeight="1" s="27">
      <c r="A393" s="25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2.75" customHeight="1" s="27">
      <c r="A394" s="25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2.75" customHeight="1" s="27">
      <c r="A395" s="25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2.75" customHeight="1" s="27">
      <c r="A396" s="25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2.75" customHeight="1" s="27">
      <c r="A397" s="25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2.75" customHeight="1" s="27">
      <c r="A398" s="25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2.75" customHeight="1" s="27">
      <c r="A399" s="25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2.75" customHeight="1" s="27">
      <c r="A400" s="25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2.75" customHeight="1" s="27">
      <c r="A401" s="25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2.75" customHeight="1" s="27">
      <c r="A402" s="25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2.75" customHeight="1" s="27">
      <c r="A403" s="25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2.75" customHeight="1" s="27">
      <c r="A404" s="25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2.75" customHeight="1" s="27">
      <c r="A405" s="25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2.75" customHeight="1" s="27">
      <c r="A406" s="25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2.75" customHeight="1" s="27">
      <c r="A407" s="25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2.75" customHeight="1" s="27">
      <c r="A408" s="25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2.75" customHeight="1" s="27">
      <c r="A409" s="25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2.75" customHeight="1" s="27">
      <c r="A410" s="25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2.75" customHeight="1" s="27">
      <c r="A411" s="25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2.75" customHeight="1" s="27">
      <c r="A412" s="25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2.75" customHeight="1" s="27">
      <c r="A413" s="25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2.75" customHeight="1" s="27">
      <c r="A414" s="25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2.75" customHeight="1" s="27">
      <c r="A415" s="25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2.75" customHeight="1" s="27">
      <c r="A416" s="25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2.75" customHeight="1" s="27">
      <c r="A417" s="25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2.75" customHeight="1" s="27">
      <c r="A418" s="25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2.75" customHeight="1" s="27">
      <c r="A419" s="25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2.75" customHeight="1" s="27">
      <c r="A420" s="25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2.75" customHeight="1" s="27">
      <c r="A421" s="25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2.75" customHeight="1" s="27">
      <c r="A422" s="25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2.75" customHeight="1" s="27">
      <c r="A423" s="25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2.75" customHeight="1" s="27">
      <c r="A424" s="25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2.75" customHeight="1" s="27">
      <c r="A425" s="25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2.75" customHeight="1" s="27">
      <c r="A426" s="25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2.75" customHeight="1" s="27">
      <c r="A427" s="25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2.75" customHeight="1" s="27">
      <c r="A428" s="25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2.75" customHeight="1" s="27">
      <c r="A429" s="25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2.75" customHeight="1" s="27">
      <c r="A430" s="25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2.75" customHeight="1" s="27">
      <c r="A431" s="25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2.75" customHeight="1" s="27">
      <c r="A432" s="25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2.75" customHeight="1" s="27">
      <c r="A433" s="25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2.75" customHeight="1" s="27">
      <c r="A434" s="25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2.75" customHeight="1" s="27">
      <c r="A435" s="25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2.75" customHeight="1" s="27">
      <c r="A436" s="25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2.75" customHeight="1" s="27">
      <c r="A437" s="25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2.75" customHeight="1" s="27">
      <c r="A438" s="25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2.75" customHeight="1" s="27">
      <c r="A439" s="25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2.75" customHeight="1" s="27">
      <c r="A440" s="25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2.75" customHeight="1" s="27">
      <c r="A441" s="25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2.75" customHeight="1" s="27">
      <c r="A442" s="25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2.75" customHeight="1" s="27">
      <c r="A443" s="25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2.75" customHeight="1" s="27">
      <c r="A444" s="25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2.75" customHeight="1" s="27">
      <c r="A445" s="25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2.75" customHeight="1" s="27">
      <c r="A446" s="25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2.75" customHeight="1" s="27">
      <c r="A447" s="25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2.75" customHeight="1" s="27">
      <c r="A448" s="25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2.75" customHeight="1" s="27">
      <c r="A449" s="25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2.75" customHeight="1" s="27">
      <c r="A450" s="25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2.75" customHeight="1" s="27">
      <c r="A451" s="25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2.75" customHeight="1" s="27">
      <c r="A452" s="25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2.75" customHeight="1" s="27">
      <c r="A453" s="25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2.75" customHeight="1" s="27">
      <c r="A454" s="25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2.75" customHeight="1" s="27">
      <c r="A455" s="25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2.75" customHeight="1" s="27">
      <c r="A456" s="25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2.75" customHeight="1" s="27">
      <c r="A457" s="25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2.75" customHeight="1" s="27">
      <c r="A458" s="25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2.75" customHeight="1" s="27">
      <c r="A459" s="25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2.75" customHeight="1" s="27">
      <c r="A460" s="25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2.75" customHeight="1" s="27">
      <c r="A461" s="25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2.75" customHeight="1" s="27">
      <c r="A462" s="25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2.75" customHeight="1" s="27">
      <c r="A463" s="25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2.75" customHeight="1" s="27">
      <c r="A464" s="25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2.75" customHeight="1" s="27">
      <c r="A465" s="25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2.75" customHeight="1" s="27">
      <c r="A466" s="25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2.75" customHeight="1" s="27">
      <c r="A467" s="25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2.75" customHeight="1" s="27">
      <c r="A468" s="25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2.75" customHeight="1" s="27">
      <c r="A469" s="25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2.75" customHeight="1" s="27">
      <c r="A470" s="25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2.75" customHeight="1" s="27">
      <c r="A471" s="25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2.75" customHeight="1" s="27">
      <c r="A472" s="25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2.75" customHeight="1" s="27">
      <c r="A473" s="25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2.75" customHeight="1" s="27">
      <c r="A474" s="25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2.75" customHeight="1" s="27">
      <c r="A475" s="25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2.75" customHeight="1" s="27">
      <c r="A476" s="25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2.75" customHeight="1" s="27">
      <c r="A477" s="25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2.75" customHeight="1" s="27">
      <c r="A478" s="25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2.75" customHeight="1" s="27">
      <c r="A479" s="25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2.75" customHeight="1" s="27">
      <c r="A480" s="25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2.75" customHeight="1" s="27">
      <c r="A481" s="25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2.75" customHeight="1" s="27">
      <c r="A482" s="25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2.75" customHeight="1" s="27">
      <c r="A483" s="25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2.75" customHeight="1" s="27">
      <c r="A484" s="25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2.75" customHeight="1" s="27">
      <c r="A485" s="25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2.75" customHeight="1" s="27">
      <c r="A486" s="25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2.75" customHeight="1" s="27">
      <c r="A487" s="25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2.75" customHeight="1" s="27">
      <c r="A488" s="25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2.75" customHeight="1" s="27">
      <c r="A489" s="25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2.75" customHeight="1" s="27">
      <c r="A490" s="25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2.75" customHeight="1" s="27">
      <c r="A491" s="25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2.75" customHeight="1" s="27">
      <c r="A492" s="25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2.75" customHeight="1" s="27">
      <c r="A493" s="25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2.75" customHeight="1" s="27">
      <c r="A494" s="25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2.75" customHeight="1" s="27">
      <c r="A495" s="25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2.75" customHeight="1" s="27">
      <c r="A496" s="25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2.75" customHeight="1" s="27">
      <c r="A497" s="25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2.75" customHeight="1" s="27">
      <c r="A498" s="25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2.75" customHeight="1" s="27">
      <c r="A499" s="25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2.75" customHeight="1" s="27">
      <c r="A500" s="25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2.75" customHeight="1" s="27">
      <c r="A501" s="25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2.75" customHeight="1" s="27">
      <c r="A502" s="25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2.75" customHeight="1" s="27">
      <c r="A503" s="25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2.75" customHeight="1" s="27">
      <c r="A504" s="25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2.75" customHeight="1" s="27">
      <c r="A505" s="25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2.75" customHeight="1" s="27">
      <c r="A506" s="25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2.75" customHeight="1" s="27">
      <c r="A507" s="25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2.75" customHeight="1" s="27">
      <c r="A508" s="25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2.75" customHeight="1" s="27">
      <c r="A509" s="25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2.75" customHeight="1" s="27">
      <c r="A510" s="25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2.75" customHeight="1" s="27">
      <c r="A511" s="25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2.75" customHeight="1" s="27">
      <c r="A512" s="25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2.75" customHeight="1" s="27">
      <c r="A513" s="25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2.75" customHeight="1" s="27">
      <c r="A514" s="25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2.75" customHeight="1" s="27">
      <c r="A515" s="25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2.75" customHeight="1" s="27">
      <c r="A516" s="25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2.75" customHeight="1" s="27">
      <c r="A517" s="25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2.75" customHeight="1" s="27">
      <c r="A518" s="25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2.75" customHeight="1" s="27">
      <c r="A519" s="25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2.75" customHeight="1" s="27">
      <c r="A520" s="25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2.75" customHeight="1" s="27">
      <c r="A521" s="25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2.75" customHeight="1" s="27">
      <c r="A522" s="25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2.75" customHeight="1" s="27">
      <c r="A523" s="25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2.75" customHeight="1" s="27">
      <c r="A524" s="25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2.75" customHeight="1" s="27">
      <c r="A525" s="25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2.75" customHeight="1" s="27">
      <c r="A526" s="25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2.75" customHeight="1" s="27">
      <c r="A527" s="25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2.75" customHeight="1" s="27">
      <c r="A528" s="25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2.75" customHeight="1" s="27">
      <c r="A529" s="25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2.75" customHeight="1" s="27">
      <c r="A530" s="25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2.75" customHeight="1" s="27">
      <c r="A531" s="25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2.75" customHeight="1" s="27">
      <c r="A532" s="25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2.75" customHeight="1" s="27">
      <c r="A533" s="25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2.75" customHeight="1" s="27">
      <c r="A534" s="25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2.75" customHeight="1" s="27">
      <c r="A535" s="25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2.75" customHeight="1" s="27">
      <c r="A536" s="25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2.75" customHeight="1" s="27">
      <c r="A537" s="25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2.75" customHeight="1" s="27">
      <c r="A538" s="25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2.75" customHeight="1" s="27">
      <c r="A539" s="25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2.75" customHeight="1" s="27">
      <c r="A540" s="25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2.75" customHeight="1" s="27">
      <c r="A541" s="25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2.75" customHeight="1" s="27">
      <c r="A542" s="25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2.75" customHeight="1" s="27">
      <c r="A543" s="25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2.75" customHeight="1" s="27">
      <c r="A544" s="25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2.75" customHeight="1" s="27">
      <c r="A545" s="25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2.75" customHeight="1" s="27">
      <c r="A546" s="25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2.75" customHeight="1" s="27">
      <c r="A547" s="25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2.75" customHeight="1" s="27">
      <c r="A548" s="25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2.75" customHeight="1" s="27">
      <c r="A549" s="25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2.75" customHeight="1" s="27">
      <c r="A550" s="25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2.75" customHeight="1" s="27">
      <c r="A551" s="25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2.75" customHeight="1" s="27">
      <c r="A552" s="25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2.75" customHeight="1" s="27">
      <c r="A553" s="25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2.75" customHeight="1" s="27">
      <c r="A554" s="25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2.75" customHeight="1" s="27">
      <c r="A555" s="25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2.75" customHeight="1" s="27">
      <c r="A556" s="25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2.75" customHeight="1" s="27">
      <c r="A557" s="25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2.75" customHeight="1" s="27">
      <c r="A558" s="25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2.75" customHeight="1" s="27">
      <c r="A559" s="25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2.75" customHeight="1" s="27">
      <c r="A560" s="25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2.75" customHeight="1" s="27">
      <c r="A561" s="25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2.75" customHeight="1" s="27">
      <c r="A562" s="25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2.75" customHeight="1" s="27">
      <c r="A563" s="25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2.75" customHeight="1" s="27">
      <c r="A564" s="25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2.75" customHeight="1" s="27">
      <c r="A565" s="25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2.75" customHeight="1" s="27">
      <c r="A566" s="25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2.75" customHeight="1" s="27">
      <c r="A567" s="25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2.75" customHeight="1" s="27">
      <c r="A568" s="25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2.75" customHeight="1" s="27">
      <c r="A569" s="25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2.75" customHeight="1" s="27">
      <c r="A570" s="25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2.75" customHeight="1" s="27">
      <c r="A571" s="25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2.75" customHeight="1" s="27">
      <c r="A572" s="25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2.75" customHeight="1" s="27">
      <c r="A573" s="25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2.75" customHeight="1" s="27">
      <c r="A574" s="25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2.75" customHeight="1" s="27">
      <c r="A575" s="25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2.75" customHeight="1" s="27">
      <c r="A576" s="25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2.75" customHeight="1" s="27">
      <c r="A577" s="25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2.75" customHeight="1" s="27">
      <c r="A578" s="25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2.75" customHeight="1" s="27">
      <c r="A579" s="25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2.75" customHeight="1" s="27">
      <c r="A580" s="25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2.75" customHeight="1" s="27">
      <c r="A581" s="25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2.75" customHeight="1" s="27">
      <c r="A582" s="25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2.75" customHeight="1" s="27">
      <c r="A583" s="25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2.75" customHeight="1" s="27">
      <c r="A584" s="25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2.75" customHeight="1" s="27">
      <c r="A585" s="25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2.75" customHeight="1" s="27">
      <c r="A586" s="25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2.75" customHeight="1" s="27">
      <c r="A587" s="25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2.75" customHeight="1" s="27">
      <c r="A588" s="25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2.75" customHeight="1" s="27">
      <c r="A589" s="25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2.75" customHeight="1" s="27">
      <c r="A590" s="25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2.75" customHeight="1" s="27">
      <c r="A591" s="25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2.75" customHeight="1" s="27">
      <c r="A592" s="25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2.75" customHeight="1" s="27">
      <c r="A593" s="25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2.75" customHeight="1" s="27">
      <c r="A594" s="25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2.75" customHeight="1" s="27">
      <c r="A595" s="25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2.75" customHeight="1" s="27">
      <c r="A596" s="25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2.75" customHeight="1" s="27">
      <c r="A597" s="25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2.75" customHeight="1" s="27">
      <c r="A598" s="25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2.75" customHeight="1" s="27">
      <c r="A599" s="25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2.75" customHeight="1" s="27">
      <c r="A600" s="25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2.75" customHeight="1" s="27">
      <c r="A601" s="25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2.75" customHeight="1" s="27">
      <c r="A602" s="25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2.75" customHeight="1" s="27">
      <c r="A603" s="25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2.75" customHeight="1" s="27">
      <c r="A604" s="25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2.75" customHeight="1" s="27">
      <c r="A605" s="25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2.75" customHeight="1" s="27">
      <c r="A606" s="25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2.75" customHeight="1" s="27">
      <c r="A607" s="25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2.75" customHeight="1" s="27">
      <c r="A608" s="25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2.75" customHeight="1" s="27">
      <c r="A609" s="25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2.75" customHeight="1" s="27">
      <c r="A610" s="25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2.75" customHeight="1" s="27">
      <c r="A611" s="25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2.75" customHeight="1" s="27">
      <c r="A612" s="25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2.75" customHeight="1" s="27">
      <c r="A613" s="25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2.75" customHeight="1" s="27">
      <c r="A614" s="25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2.75" customHeight="1" s="27">
      <c r="A615" s="25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2.75" customHeight="1" s="27">
      <c r="A616" s="25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2.75" customHeight="1" s="27">
      <c r="A617" s="25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2.75" customHeight="1" s="27">
      <c r="A618" s="25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2.75" customHeight="1" s="27">
      <c r="A619" s="25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2.75" customHeight="1" s="27">
      <c r="A620" s="25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2.75" customHeight="1" s="27">
      <c r="A621" s="25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2.75" customHeight="1" s="27">
      <c r="A622" s="25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2.75" customHeight="1" s="27">
      <c r="A623" s="25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2.75" customHeight="1" s="27">
      <c r="A624" s="25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2.75" customHeight="1" s="27">
      <c r="A625" s="25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2.75" customHeight="1" s="27">
      <c r="A626" s="25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2.75" customHeight="1" s="27">
      <c r="A627" s="25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2.75" customHeight="1" s="27">
      <c r="A628" s="25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2.75" customHeight="1" s="27">
      <c r="A629" s="25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2.75" customHeight="1" s="27">
      <c r="A630" s="25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2.75" customHeight="1" s="27">
      <c r="A631" s="25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2.75" customHeight="1" s="27">
      <c r="A632" s="25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2.75" customHeight="1" s="27">
      <c r="A633" s="25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2.75" customHeight="1" s="27">
      <c r="A634" s="25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2.75" customHeight="1" s="27">
      <c r="A635" s="25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2.75" customHeight="1" s="27">
      <c r="A636" s="25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2.75" customHeight="1" s="27">
      <c r="A637" s="25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2.75" customHeight="1" s="27">
      <c r="A638" s="25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2.75" customHeight="1" s="27">
      <c r="A639" s="25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2.75" customHeight="1" s="27">
      <c r="A640" s="25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2.75" customHeight="1" s="27">
      <c r="A641" s="25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2.75" customHeight="1" s="27">
      <c r="A642" s="25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2.75" customHeight="1" s="27">
      <c r="A643" s="25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2.75" customHeight="1" s="27">
      <c r="A644" s="25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2.75" customHeight="1" s="27">
      <c r="A645" s="25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2.75" customHeight="1" s="27">
      <c r="A646" s="25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2.75" customHeight="1" s="27">
      <c r="A647" s="25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2.75" customHeight="1" s="27">
      <c r="A648" s="25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2.75" customHeight="1" s="27">
      <c r="A649" s="25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2.75" customHeight="1" s="27">
      <c r="A650" s="25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2.75" customHeight="1" s="27">
      <c r="A651" s="25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2.75" customHeight="1" s="27">
      <c r="A652" s="25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2.75" customHeight="1" s="27">
      <c r="A653" s="25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2.75" customHeight="1" s="27">
      <c r="A654" s="25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2.75" customHeight="1" s="27">
      <c r="A655" s="25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2.75" customHeight="1" s="27">
      <c r="A656" s="25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2.75" customHeight="1" s="27">
      <c r="A657" s="25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2.75" customHeight="1" s="27">
      <c r="A658" s="25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2.75" customHeight="1" s="27">
      <c r="A659" s="25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2.75" customHeight="1" s="27">
      <c r="A660" s="25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2.75" customHeight="1" s="27">
      <c r="A661" s="25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2.75" customHeight="1" s="27">
      <c r="A662" s="25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2.75" customHeight="1" s="27">
      <c r="A663" s="25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2.75" customHeight="1" s="27">
      <c r="A664" s="25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2.75" customHeight="1" s="27">
      <c r="A665" s="25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2.75" customHeight="1" s="27">
      <c r="A666" s="25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2.75" customHeight="1" s="27">
      <c r="A667" s="25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2.75" customHeight="1" s="27">
      <c r="A668" s="25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2.75" customHeight="1" s="27">
      <c r="A669" s="25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2.75" customHeight="1" s="27">
      <c r="A670" s="25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2.75" customHeight="1" s="27">
      <c r="A671" s="25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2.75" customHeight="1" s="27">
      <c r="A672" s="25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2.75" customHeight="1" s="27">
      <c r="A673" s="25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2.75" customHeight="1" s="27">
      <c r="A674" s="25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2.75" customHeight="1" s="27">
      <c r="A675" s="25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2.75" customHeight="1" s="27">
      <c r="A676" s="25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2.75" customHeight="1" s="27">
      <c r="A677" s="25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2.75" customHeight="1" s="27">
      <c r="A678" s="25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2.75" customHeight="1" s="27">
      <c r="A679" s="25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2.75" customHeight="1" s="27">
      <c r="A680" s="25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2.75" customHeight="1" s="27">
      <c r="A681" s="25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2.75" customHeight="1" s="27">
      <c r="A682" s="25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2.75" customHeight="1" s="27">
      <c r="A683" s="25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2.75" customHeight="1" s="27">
      <c r="A684" s="25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2.75" customHeight="1" s="27">
      <c r="A685" s="25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2.75" customHeight="1" s="27">
      <c r="A686" s="25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2.75" customHeight="1" s="27">
      <c r="A687" s="25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2.75" customHeight="1" s="27">
      <c r="A688" s="25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2.75" customHeight="1" s="27">
      <c r="A689" s="25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2.75" customHeight="1" s="27">
      <c r="A690" s="25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2.75" customHeight="1" s="27">
      <c r="A691" s="25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2.75" customHeight="1" s="27">
      <c r="A692" s="25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2.75" customHeight="1" s="27">
      <c r="A693" s="25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2.75" customHeight="1" s="27">
      <c r="A694" s="25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2.75" customHeight="1" s="27">
      <c r="A695" s="25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2.75" customHeight="1" s="27">
      <c r="A696" s="25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2.75" customHeight="1" s="27">
      <c r="A697" s="25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2.75" customHeight="1" s="27">
      <c r="A698" s="25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2.75" customHeight="1" s="27">
      <c r="A699" s="25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2.75" customHeight="1" s="27">
      <c r="A700" s="25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2.75" customHeight="1" s="27">
      <c r="A701" s="25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2.75" customHeight="1" s="27">
      <c r="A702" s="25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2.75" customHeight="1" s="27">
      <c r="A703" s="25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2.75" customHeight="1" s="27">
      <c r="A704" s="25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2.75" customHeight="1" s="27">
      <c r="A705" s="25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2.75" customHeight="1" s="27">
      <c r="A706" s="25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2.75" customHeight="1" s="27">
      <c r="A707" s="25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2.75" customHeight="1" s="27">
      <c r="A708" s="25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2.75" customHeight="1" s="27">
      <c r="A709" s="25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2.75" customHeight="1" s="27">
      <c r="A710" s="25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2.75" customHeight="1" s="27">
      <c r="A711" s="25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2.75" customHeight="1" s="27">
      <c r="A712" s="25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2.75" customHeight="1" s="27">
      <c r="A713" s="25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2.75" customHeight="1" s="27">
      <c r="A714" s="25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2.75" customHeight="1" s="27">
      <c r="A715" s="25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2.75" customHeight="1" s="27">
      <c r="A716" s="25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2.75" customHeight="1" s="27">
      <c r="A717" s="25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2.75" customHeight="1" s="27">
      <c r="A718" s="25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2.75" customHeight="1" s="27">
      <c r="A719" s="25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2.75" customHeight="1" s="27">
      <c r="A720" s="25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2.75" customHeight="1" s="27">
      <c r="A721" s="25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2.75" customHeight="1" s="27">
      <c r="A722" s="25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2.75" customHeight="1" s="27">
      <c r="A723" s="25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2.75" customHeight="1" s="27">
      <c r="A724" s="25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2.75" customHeight="1" s="27">
      <c r="A725" s="25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2.75" customHeight="1" s="27">
      <c r="A726" s="25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2.75" customHeight="1" s="27">
      <c r="A727" s="25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2.75" customHeight="1" s="27">
      <c r="A728" s="25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2.75" customHeight="1" s="27">
      <c r="A729" s="25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2.75" customHeight="1" s="27">
      <c r="A730" s="25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2.75" customHeight="1" s="27">
      <c r="A731" s="25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2.75" customHeight="1" s="27">
      <c r="A732" s="25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2.75" customHeight="1" s="27">
      <c r="A733" s="25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2.75" customHeight="1" s="27">
      <c r="A734" s="25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2.75" customHeight="1" s="27">
      <c r="A735" s="25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2.75" customHeight="1" s="27">
      <c r="A736" s="25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2.75" customHeight="1" s="27">
      <c r="A737" s="25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2.75" customHeight="1" s="27">
      <c r="A738" s="25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2.75" customHeight="1" s="27">
      <c r="A739" s="25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2.75" customHeight="1" s="27">
      <c r="A740" s="25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2.75" customHeight="1" s="27">
      <c r="A741" s="25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2.75" customHeight="1" s="27">
      <c r="A742" s="25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2.75" customHeight="1" s="27">
      <c r="A743" s="25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2.75" customHeight="1" s="27">
      <c r="A744" s="25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2.75" customHeight="1" s="27">
      <c r="A745" s="25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2.75" customHeight="1" s="27">
      <c r="A746" s="25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2.75" customHeight="1" s="27">
      <c r="A747" s="25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2.75" customHeight="1" s="27">
      <c r="A748" s="25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2.75" customHeight="1" s="27">
      <c r="A749" s="25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2.75" customHeight="1" s="27">
      <c r="A750" s="25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2.75" customHeight="1" s="27">
      <c r="A751" s="25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2.75" customHeight="1" s="27">
      <c r="A752" s="25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2.75" customHeight="1" s="27">
      <c r="A753" s="25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2.75" customHeight="1" s="27">
      <c r="A754" s="25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2.75" customHeight="1" s="27">
      <c r="A755" s="25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2.75" customHeight="1" s="27">
      <c r="A756" s="25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2.75" customHeight="1" s="27">
      <c r="A757" s="25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2.75" customHeight="1" s="27">
      <c r="A758" s="25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2.75" customHeight="1" s="27">
      <c r="A759" s="25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2.75" customHeight="1" s="27">
      <c r="A760" s="25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2.75" customHeight="1" s="27">
      <c r="A761" s="25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2.75" customHeight="1" s="27">
      <c r="A762" s="25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2.75" customHeight="1" s="27">
      <c r="A763" s="25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2.75" customHeight="1" s="27">
      <c r="A764" s="25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2.75" customHeight="1" s="27">
      <c r="A765" s="25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2.75" customHeight="1" s="27">
      <c r="A766" s="25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2.75" customHeight="1" s="27">
      <c r="A767" s="25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2.75" customHeight="1" s="27">
      <c r="A768" s="25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2.75" customHeight="1" s="27">
      <c r="A769" s="25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2.75" customHeight="1" s="27">
      <c r="A770" s="25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2.75" customHeight="1" s="27">
      <c r="A771" s="25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2.75" customHeight="1" s="27">
      <c r="A772" s="25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2.75" customHeight="1" s="27">
      <c r="A773" s="25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2.75" customHeight="1" s="27">
      <c r="A774" s="25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2.75" customHeight="1" s="27">
      <c r="A775" s="25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2.75" customHeight="1" s="27">
      <c r="A776" s="25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2.75" customHeight="1" s="27">
      <c r="A777" s="25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2.75" customHeight="1" s="27">
      <c r="A778" s="25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2.75" customHeight="1" s="27">
      <c r="A779" s="25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2.75" customHeight="1" s="27">
      <c r="A780" s="25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2.75" customHeight="1" s="27">
      <c r="A781" s="25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2.75" customHeight="1" s="27">
      <c r="A782" s="25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2.75" customHeight="1" s="27">
      <c r="A783" s="25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2.75" customHeight="1" s="27">
      <c r="A784" s="25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2.75" customHeight="1" s="27">
      <c r="A785" s="25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2.75" customHeight="1" s="27">
      <c r="A786" s="25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2.75" customHeight="1" s="27">
      <c r="A787" s="25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2.75" customHeight="1" s="27">
      <c r="A788" s="25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2.75" customHeight="1" s="27">
      <c r="A789" s="25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2.75" customHeight="1" s="27">
      <c r="A790" s="25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2.75" customHeight="1" s="27">
      <c r="A791" s="25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2.75" customHeight="1" s="27">
      <c r="A792" s="25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2.75" customHeight="1" s="27">
      <c r="A793" s="25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2.75" customHeight="1" s="27">
      <c r="A794" s="25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2.75" customHeight="1" s="27">
      <c r="A795" s="25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2.75" customHeight="1" s="27">
      <c r="A796" s="25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2.75" customHeight="1" s="27">
      <c r="A797" s="25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2.75" customHeight="1" s="27">
      <c r="A798" s="25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2.75" customHeight="1" s="27">
      <c r="A799" s="25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2.75" customHeight="1" s="27">
      <c r="A800" s="25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2.75" customHeight="1" s="27">
      <c r="A801" s="25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2.75" customHeight="1" s="27">
      <c r="A802" s="25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2.75" customHeight="1" s="27">
      <c r="A803" s="25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2.75" customHeight="1" s="27">
      <c r="A804" s="25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2.75" customHeight="1" s="27">
      <c r="A805" s="25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2.75" customHeight="1" s="27">
      <c r="A806" s="25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2.75" customHeight="1" s="27">
      <c r="A807" s="25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2.75" customHeight="1" s="27">
      <c r="A808" s="25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2.75" customHeight="1" s="27">
      <c r="A809" s="25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2.75" customHeight="1" s="27">
      <c r="A810" s="25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2.75" customHeight="1" s="27">
      <c r="A811" s="25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2.75" customHeight="1" s="27">
      <c r="A812" s="25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2.75" customHeight="1" s="27">
      <c r="A813" s="25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2.75" customHeight="1" s="27">
      <c r="A814" s="25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2.75" customHeight="1" s="27">
      <c r="A815" s="25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2.75" customHeight="1" s="27">
      <c r="A816" s="25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2.75" customHeight="1" s="27">
      <c r="A817" s="25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2.75" customHeight="1" s="27">
      <c r="A818" s="25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2.75" customHeight="1" s="27">
      <c r="A819" s="25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2.75" customHeight="1" s="27">
      <c r="A820" s="25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2.75" customHeight="1" s="27">
      <c r="A821" s="25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2.75" customHeight="1" s="27">
      <c r="A822" s="25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2.75" customHeight="1" s="27">
      <c r="A823" s="25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2.75" customHeight="1" s="27">
      <c r="A824" s="25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2.75" customHeight="1" s="27">
      <c r="A825" s="25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2.75" customHeight="1" s="27">
      <c r="A826" s="25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2.75" customHeight="1" s="27">
      <c r="A827" s="25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2.75" customHeight="1" s="27">
      <c r="A828" s="25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2.75" customHeight="1" s="27">
      <c r="A829" s="25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2.75" customHeight="1" s="27">
      <c r="A830" s="25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2.75" customHeight="1" s="27">
      <c r="A831" s="25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2.75" customHeight="1" s="27">
      <c r="A832" s="25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2.75" customHeight="1" s="27">
      <c r="A833" s="25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2.75" customHeight="1" s="27">
      <c r="A834" s="25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2.75" customHeight="1" s="27">
      <c r="A835" s="25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2.75" customHeight="1" s="27">
      <c r="A836" s="25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2.75" customHeight="1" s="27">
      <c r="A837" s="25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2.75" customHeight="1" s="27">
      <c r="A838" s="25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2.75" customHeight="1" s="27">
      <c r="A839" s="25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2.75" customHeight="1" s="27">
      <c r="A840" s="25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2.75" customHeight="1" s="27">
      <c r="A841" s="25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2.75" customHeight="1" s="27">
      <c r="A842" s="25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2.75" customHeight="1" s="27">
      <c r="A843" s="25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2.75" customHeight="1" s="27">
      <c r="A844" s="25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2.75" customHeight="1" s="27">
      <c r="A845" s="25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2.75" customHeight="1" s="27">
      <c r="A846" s="25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2.75" customHeight="1" s="27">
      <c r="A847" s="25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2.75" customHeight="1" s="27">
      <c r="A848" s="25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2.75" customHeight="1" s="27">
      <c r="A849" s="25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2.75" customHeight="1" s="27">
      <c r="A850" s="25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2.75" customHeight="1" s="27">
      <c r="A851" s="25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2.75" customHeight="1" s="27">
      <c r="A852" s="25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2.75" customHeight="1" s="27">
      <c r="A853" s="25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2.75" customHeight="1" s="27">
      <c r="A854" s="25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2.75" customHeight="1" s="27">
      <c r="A855" s="25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2.75" customHeight="1" s="27">
      <c r="A856" s="25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2.75" customHeight="1" s="27">
      <c r="A857" s="25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2.75" customHeight="1" s="27">
      <c r="A858" s="25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2.75" customHeight="1" s="27">
      <c r="A859" s="25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2.75" customHeight="1" s="27">
      <c r="A860" s="25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2.75" customHeight="1" s="27">
      <c r="A861" s="25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2.75" customHeight="1" s="27">
      <c r="A862" s="25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2.75" customHeight="1" s="27">
      <c r="A863" s="25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2.75" customHeight="1" s="27">
      <c r="A864" s="25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2.75" customHeight="1" s="27">
      <c r="A865" s="25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2.75" customHeight="1" s="27">
      <c r="A866" s="25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2.75" customHeight="1" s="27">
      <c r="A867" s="25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2.75" customHeight="1" s="27">
      <c r="A868" s="25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2.75" customHeight="1" s="27">
      <c r="A869" s="25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2.75" customHeight="1" s="27">
      <c r="A870" s="25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2.75" customHeight="1" s="27">
      <c r="A871" s="25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2.75" customHeight="1" s="27">
      <c r="A872" s="25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2.75" customHeight="1" s="27">
      <c r="A873" s="25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2.75" customHeight="1" s="27">
      <c r="A874" s="25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2.75" customHeight="1" s="27">
      <c r="A875" s="25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2.75" customHeight="1" s="27">
      <c r="A876" s="25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2.75" customHeight="1" s="27">
      <c r="A877" s="25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2.75" customHeight="1" s="27">
      <c r="A878" s="25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2.75" customHeight="1" s="27">
      <c r="A879" s="25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2.75" customHeight="1" s="27">
      <c r="A880" s="25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2.75" customHeight="1" s="27">
      <c r="A881" s="25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2.75" customHeight="1" s="27">
      <c r="A882" s="25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2.75" customHeight="1" s="27">
      <c r="A883" s="25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2.75" customHeight="1" s="27">
      <c r="A884" s="25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2.75" customHeight="1" s="27">
      <c r="A885" s="25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2.75" customHeight="1" s="27">
      <c r="A886" s="25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2.75" customHeight="1" s="27">
      <c r="A887" s="25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2.75" customHeight="1" s="27">
      <c r="A888" s="25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2.75" customHeight="1" s="27">
      <c r="A889" s="25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2.75" customHeight="1" s="27">
      <c r="A890" s="25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2.75" customHeight="1" s="27">
      <c r="A891" s="25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2.75" customHeight="1" s="27">
      <c r="A892" s="25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2.75" customHeight="1" s="27">
      <c r="A893" s="25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2.75" customHeight="1" s="27">
      <c r="A894" s="25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2.75" customHeight="1" s="27">
      <c r="A895" s="25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2.75" customHeight="1" s="27">
      <c r="A896" s="25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2.75" customHeight="1" s="27">
      <c r="A897" s="25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2.75" customHeight="1" s="27">
      <c r="A898" s="25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2.75" customHeight="1" s="27">
      <c r="A899" s="25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2.75" customHeight="1" s="27">
      <c r="A900" s="25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2.75" customHeight="1" s="27">
      <c r="A901" s="25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2.75" customHeight="1" s="27">
      <c r="A902" s="25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2.75" customHeight="1" s="27">
      <c r="A903" s="25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2.75" customHeight="1" s="27">
      <c r="A904" s="25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2.75" customHeight="1" s="27">
      <c r="A905" s="25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2.75" customHeight="1" s="27">
      <c r="A906" s="25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2.75" customHeight="1" s="27">
      <c r="A907" s="25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2.75" customHeight="1" s="27">
      <c r="A908" s="25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2.75" customHeight="1" s="27">
      <c r="A909" s="25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2.75" customHeight="1" s="27">
      <c r="A910" s="25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2.75" customHeight="1" s="27">
      <c r="A911" s="25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2.75" customHeight="1" s="27">
      <c r="A912" s="25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2.75" customHeight="1" s="27">
      <c r="A913" s="25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2.75" customHeight="1" s="27">
      <c r="A914" s="25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2.75" customHeight="1" s="27">
      <c r="A915" s="25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2.75" customHeight="1" s="27">
      <c r="A916" s="25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2.75" customHeight="1" s="27">
      <c r="A917" s="25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2.75" customHeight="1" s="27">
      <c r="A918" s="25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2.75" customHeight="1" s="27">
      <c r="A919" s="25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2.75" customHeight="1" s="27">
      <c r="A920" s="25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2.75" customHeight="1" s="27">
      <c r="A921" s="25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2.75" customHeight="1" s="27">
      <c r="A922" s="25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2.75" customHeight="1" s="27">
      <c r="A923" s="25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2.75" customHeight="1" s="27">
      <c r="A924" s="25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2.75" customHeight="1" s="27">
      <c r="A925" s="25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2.75" customHeight="1" s="27">
      <c r="A926" s="25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2.75" customHeight="1" s="27">
      <c r="A927" s="25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2.75" customHeight="1" s="27">
      <c r="A928" s="25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2.75" customHeight="1" s="27">
      <c r="A929" s="25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2.75" customHeight="1" s="27">
      <c r="A930" s="25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2.75" customHeight="1" s="27">
      <c r="A931" s="25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2.75" customHeight="1" s="27">
      <c r="A932" s="25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2.75" customHeight="1" s="27">
      <c r="A933" s="25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2.75" customHeight="1" s="27">
      <c r="A934" s="25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2.75" customHeight="1" s="27">
      <c r="A935" s="25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2.75" customHeight="1" s="27">
      <c r="A936" s="25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2.75" customHeight="1" s="27">
      <c r="A937" s="25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2.75" customHeight="1" s="27">
      <c r="A938" s="25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2.75" customHeight="1" s="27">
      <c r="A939" s="25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2.75" customHeight="1" s="27">
      <c r="A940" s="25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2.75" customHeight="1" s="27">
      <c r="A941" s="25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2.75" customHeight="1" s="27">
      <c r="A942" s="25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2.75" customHeight="1" s="27">
      <c r="A943" s="25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2.75" customHeight="1" s="27">
      <c r="A944" s="25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2.75" customHeight="1" s="27">
      <c r="A945" s="25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2.75" customHeight="1" s="27">
      <c r="A946" s="25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2.75" customHeight="1" s="27">
      <c r="A947" s="25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2.75" customHeight="1" s="27">
      <c r="A948" s="25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2.75" customHeight="1" s="27">
      <c r="A949" s="25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2.75" customHeight="1" s="27">
      <c r="A950" s="25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2.75" customHeight="1" s="27">
      <c r="A951" s="25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2.75" customHeight="1" s="27">
      <c r="A952" s="25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2.75" customHeight="1" s="27">
      <c r="A953" s="25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2.75" customHeight="1" s="27">
      <c r="A954" s="25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2.75" customHeight="1" s="27">
      <c r="A955" s="25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2.75" customHeight="1" s="27">
      <c r="A956" s="25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2.75" customHeight="1" s="27">
      <c r="A957" s="25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2.75" customHeight="1" s="27">
      <c r="A958" s="25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2.75" customHeight="1" s="27">
      <c r="A959" s="25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2.75" customHeight="1" s="27">
      <c r="A960" s="25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2.75" customHeight="1" s="27">
      <c r="A961" s="25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2.75" customHeight="1" s="27">
      <c r="A962" s="25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2.75" customHeight="1" s="27">
      <c r="A963" s="25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2.75" customHeight="1" s="27">
      <c r="A964" s="25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2.75" customHeight="1" s="27">
      <c r="A965" s="25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2.75" customHeight="1" s="27">
      <c r="A966" s="25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2.75" customHeight="1" s="27">
      <c r="A967" s="25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2.75" customHeight="1" s="27">
      <c r="A968" s="25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2.75" customHeight="1" s="27">
      <c r="A969" s="25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2.75" customHeight="1" s="27">
      <c r="A970" s="25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2.75" customHeight="1" s="27">
      <c r="A971" s="25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2.75" customHeight="1" s="27">
      <c r="A972" s="25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2.75" customHeight="1" s="27">
      <c r="A973" s="25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2.75" customHeight="1" s="27">
      <c r="A974" s="25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2.75" customHeight="1" s="27">
      <c r="A975" s="25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2.75" customHeight="1" s="27">
      <c r="A976" s="25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2.75" customHeight="1" s="27">
      <c r="A977" s="25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2.75" customHeight="1" s="27">
      <c r="A978" s="25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2.75" customHeight="1" s="27">
      <c r="A979" s="25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2.75" customHeight="1" s="27">
      <c r="A980" s="25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2.75" customHeight="1" s="27">
      <c r="A981" s="25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2.75" customHeight="1" s="27">
      <c r="A982" s="25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2.75" customHeight="1" s="27">
      <c r="A983" s="25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2.75" customHeight="1" s="27">
      <c r="A984" s="25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2.75" customHeight="1" s="27">
      <c r="A985" s="25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2.75" customHeight="1" s="27">
      <c r="A986" s="25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2.75" customHeight="1" s="27">
      <c r="A987" s="25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2.75" customHeight="1" s="27">
      <c r="A988" s="25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2.75" customHeight="1" s="27">
      <c r="A989" s="25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2.75" customHeight="1" s="27">
      <c r="A990" s="25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2.75" customHeight="1" s="27">
      <c r="A991" s="25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2.75" customHeight="1" s="27">
      <c r="A992" s="25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</sheetData>
  <dataValidations count="3">
    <dataValidation sqref="L5:L136" showDropDown="0" showInputMessage="0" showErrorMessage="1" allowBlank="1" type="list">
      <formula1>"Simple,Medium,Complex"</formula1>
    </dataValidation>
    <dataValidation sqref="M5:M136" showDropDown="0" showInputMessage="0" showErrorMessage="1" allowBlank="1" type="list">
      <formula1>"Low,Medium,High"</formula1>
    </dataValidation>
    <dataValidation sqref="F5:F136" showDropDown="0" showInputMessage="0" showErrorMessage="1" allowBlank="1" type="list">
      <formula1>"To Do,Doing,Done"</formula1>
    </dataValidation>
  </dataValidations>
  <hyperlinks>
    <hyperlink xmlns:r="http://schemas.openxmlformats.org/officeDocument/2006/relationships" ref="K41" r:id="rId1"/>
    <hyperlink xmlns:r="http://schemas.openxmlformats.org/officeDocument/2006/relationships" ref="K63" r:id="rId2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Right="0"/>
    <pageSetUpPr/>
  </sheetPr>
  <dimension ref="A1:Z93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1.22" defaultRowHeight="15" customHeight="1"/>
  <cols>
    <col width="3" customWidth="1" style="27" min="1" max="1"/>
    <col width="20.11" customWidth="1" style="27" min="2" max="2"/>
    <col width="13.22" customWidth="1" style="27" min="3" max="3"/>
    <col outlineLevel="1" width="34.22" customWidth="1" style="27" min="4" max="4"/>
    <col width="15" customWidth="1" style="27" min="5" max="5"/>
    <col width="9.220000000000001" customWidth="1" style="27" min="6" max="6"/>
    <col width="5.33" customWidth="1" style="27" min="7" max="7"/>
    <col collapsed="1" width="5.89" customWidth="1" style="27" min="8" max="8"/>
    <col hidden="1" outlineLevel="1" width="44.11" customWidth="1" style="27" min="9" max="9"/>
    <col width="5.67" customWidth="1" style="27" min="10" max="10"/>
    <col outlineLevel="1" width="18.11" customWidth="1" style="27" min="11" max="11"/>
    <col outlineLevel="1" width="9.67" customWidth="1" style="27" min="12" max="13"/>
    <col width="9.44" customWidth="1" style="27" min="14" max="26"/>
  </cols>
  <sheetData>
    <row r="1" ht="18" customHeight="1" s="27">
      <c r="A1" s="26" t="inlineStr">
        <is>
          <t>LOC Evaluation for OrcaXCare (Iteration 1)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5" customHeight="1" s="27">
      <c r="A2" s="4" t="inlineStr">
        <is>
          <t>Main scope (Iteration 1): Build the system core - Authentication &amp; RBAC (Guest / Patient / Doctor / Admin); Account management; Master data (Specialty, Department, Clinic room, Doctor); Patient portal (home, search doctors); Patient profile; Admin &amp; Patient dashboards.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5" customHeight="1" s="27">
      <c r="A3" s="4" t="inlineStr">
        <is>
          <t>Sprint outcome: Admin can log in and manage staff accounts, specialties, departments, and doctors. Patient can register, verify email, log in, update profile, and search/view doctors on the portal. Each role lands on the correct dashboard after login.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2.75" customHeight="1" s="27">
      <c r="A4" s="5" t="inlineStr">
        <is>
          <t>#</t>
        </is>
      </c>
      <c r="B4" s="6" t="inlineStr">
        <is>
          <t>Screen / Function</t>
        </is>
      </c>
      <c r="C4" s="6" t="inlineStr">
        <is>
          <t>Feature</t>
        </is>
      </c>
      <c r="D4" s="6" t="inlineStr">
        <is>
          <t>Screen/Function Description</t>
        </is>
      </c>
      <c r="E4" s="6" t="inlineStr">
        <is>
          <t>In Charge</t>
        </is>
      </c>
      <c r="F4" s="6" t="inlineStr">
        <is>
          <t>Status</t>
        </is>
      </c>
      <c r="G4" s="7" t="inlineStr">
        <is>
          <t>SRS</t>
        </is>
      </c>
      <c r="H4" s="7" t="inlineStr">
        <is>
          <t>SDS</t>
        </is>
      </c>
      <c r="I4" s="6" t="inlineStr">
        <is>
          <t>Notes</t>
        </is>
      </c>
      <c r="J4" s="8" t="inlineStr">
        <is>
          <t>LOC</t>
        </is>
      </c>
      <c r="K4" s="8" t="inlineStr">
        <is>
          <t>Code Demo Comments</t>
        </is>
      </c>
      <c r="L4" s="8" t="inlineStr">
        <is>
          <t>Complexity</t>
        </is>
      </c>
      <c r="M4" s="8" t="inlineStr">
        <is>
          <t>Quality</t>
        </is>
      </c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2.75" customHeight="1" s="27">
      <c r="A5" s="9">
        <f>ROW()-4</f>
        <v/>
      </c>
      <c r="B5" s="14" t="inlineStr">
        <is>
          <t>Login</t>
        </is>
      </c>
      <c r="C5" s="14" t="inlineStr">
        <is>
          <t>Authentication</t>
        </is>
      </c>
      <c r="D5" s="16" t="inlineStr">
        <is>
          <t>Display email and password fields, remember-me option, links to register and forgot password. Valid credentials redirect to role dashboard; invalid shows inline error without revealing which field failed. Validate credentials; issue JWT/session; load role and permissions. Token stored client-side; protected routes require valid session; locked account returns 403.</t>
        </is>
      </c>
      <c r="E5" s="13" t="inlineStr">
        <is>
          <t>TruongNTCE180140</t>
        </is>
      </c>
      <c r="F5" s="14" t="inlineStr">
        <is>
          <t>To Do</t>
        </is>
      </c>
      <c r="G5" s="13" t="n"/>
      <c r="H5" s="13" t="n"/>
      <c r="I5" s="14" t="n"/>
      <c r="J5" s="15">
        <f>IF(L5="Simple",60,IF(L5="Medium",120,240))*IF(M5="Low",50%,IF(M5="Medium",75%,100%))</f>
        <v/>
      </c>
      <c r="K5" s="13" t="n"/>
      <c r="L5" s="13" t="inlineStr">
        <is>
          <t>Simple</t>
        </is>
      </c>
      <c r="M5" s="13" t="inlineStr">
        <is>
          <t>High</t>
        </is>
      </c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2.75" customHeight="1" s="27">
      <c r="A6" s="9">
        <f>ROW()-4</f>
        <v/>
      </c>
      <c r="B6" s="14" t="inlineStr">
        <is>
          <t>Logout</t>
        </is>
      </c>
      <c r="C6" s="14" t="inlineStr">
        <is>
          <t>Authentication</t>
        </is>
      </c>
      <c r="D6" s="16" t="inlineStr">
        <is>
          <t>Clear session/token and return to public login. After logout, back button cannot access protected pages.</t>
        </is>
      </c>
      <c r="E6" s="13" t="inlineStr">
        <is>
          <t>TruongNTCE180140</t>
        </is>
      </c>
      <c r="F6" s="14" t="inlineStr">
        <is>
          <t>To Do</t>
        </is>
      </c>
      <c r="G6" s="13" t="n"/>
      <c r="H6" s="13" t="n"/>
      <c r="I6" s="14" t="n"/>
      <c r="J6" s="15">
        <f>IF(L6="Simple",60,IF(L6="Medium",120,240))*IF(M6="Low",50%,IF(M6="Medium",75%,100%))</f>
        <v/>
      </c>
      <c r="K6" s="13" t="n"/>
      <c r="L6" s="13" t="inlineStr">
        <is>
          <t>Simple</t>
        </is>
      </c>
      <c r="M6" s="13" t="inlineStr">
        <is>
          <t>High</t>
        </is>
      </c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2.75" customHeight="1" s="27">
      <c r="A7" s="9">
        <f>ROW()-4</f>
        <v/>
      </c>
      <c r="B7" s="14" t="inlineStr">
        <is>
          <t>Register Account (Patient)</t>
        </is>
      </c>
      <c r="C7" s="14" t="inlineStr">
        <is>
          <t>Authentication</t>
        </is>
      </c>
      <c r="D7" s="16" t="inlineStr">
        <is>
          <t>Fields: email, password, confirm password, full name, phone, terms checkbox. Client-side validation before submit; duplicate email shows clear message. Create user with role patient; hash password; trigger verification email. Account created inactive until verified; password never stored plain text.</t>
        </is>
      </c>
      <c r="E7" s="13" t="inlineStr">
        <is>
          <t>TruongNTCE180140</t>
        </is>
      </c>
      <c r="F7" s="14" t="inlineStr">
        <is>
          <t>To Do</t>
        </is>
      </c>
      <c r="G7" s="13" t="n"/>
      <c r="H7" s="13" t="n"/>
      <c r="I7" s="14" t="n"/>
      <c r="J7" s="15">
        <f>IF(L7="Simple",60,IF(L7="Medium",120,240))*IF(M7="Low",50%,IF(M7="Medium",75%,100%))</f>
        <v/>
      </c>
      <c r="K7" s="13" t="n"/>
      <c r="L7" s="13" t="inlineStr">
        <is>
          <t>Simple</t>
        </is>
      </c>
      <c r="M7" s="13" t="inlineStr">
        <is>
          <t>High</t>
        </is>
      </c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2.75" customHeight="1" s="27">
      <c r="A8" s="9">
        <f>ROW()-4</f>
        <v/>
      </c>
      <c r="B8" s="13" t="inlineStr">
        <is>
          <t>Forgot Password</t>
        </is>
      </c>
      <c r="C8" s="13" t="inlineStr">
        <is>
          <t>Authentication</t>
        </is>
      </c>
      <c r="D8" s="13" t="inlineStr">
        <is>
          <t>Enter registered email; show neutral success message. Email sent if account exists; no hint whether email found. Token from email link; new password + confirm; update hash. Expired token shows error; successful reset allows login with new password.</t>
        </is>
      </c>
      <c r="E8" s="13" t="inlineStr">
        <is>
          <t>TruongNTCE180140</t>
        </is>
      </c>
      <c r="F8" s="14" t="inlineStr">
        <is>
          <t>To Do</t>
        </is>
      </c>
      <c r="G8" s="13" t="n"/>
      <c r="H8" s="13" t="n"/>
      <c r="I8" s="13" t="n"/>
      <c r="J8" s="15">
        <f>IF(L8="Simple",60,IF(L8="Medium",120,240))*IF(M8="Low",50%,IF(M8="Medium",75%,100%))</f>
        <v/>
      </c>
      <c r="K8" s="13" t="n"/>
      <c r="L8" s="13" t="inlineStr">
        <is>
          <t>Simple</t>
        </is>
      </c>
      <c r="M8" s="13" t="inlineStr">
        <is>
          <t>High</t>
        </is>
      </c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2.75" customHeight="1" s="27">
      <c r="A9" s="9">
        <f>ROW()-4</f>
        <v/>
      </c>
      <c r="B9" s="13" t="inlineStr">
        <is>
          <t>Verify Email</t>
        </is>
      </c>
      <c r="C9" s="13" t="inlineStr">
        <is>
          <t>Authentication</t>
        </is>
      </c>
      <c r="D9" s="13" t="inlineStr">
        <is>
          <t>Landing page from email link validates token and updates account status. Valid token activates account; invalid/expired shows guidance to resend.</t>
        </is>
      </c>
      <c r="E9" s="13" t="inlineStr">
        <is>
          <t>TruongNTCE180140</t>
        </is>
      </c>
      <c r="F9" s="14" t="inlineStr">
        <is>
          <t>To Do</t>
        </is>
      </c>
      <c r="G9" s="13" t="n"/>
      <c r="H9" s="13" t="n"/>
      <c r="I9" s="13" t="n"/>
      <c r="J9" s="15">
        <f>IF(L9="Simple",60,IF(L9="Medium",120,240))*IF(M9="Low",50%,IF(M9="Medium",75%,100%))</f>
        <v/>
      </c>
      <c r="K9" s="13" t="n"/>
      <c r="L9" s="13" t="inlineStr">
        <is>
          <t>Simple</t>
        </is>
      </c>
      <c r="M9" s="13" t="inlineStr">
        <is>
          <t>High</t>
        </is>
      </c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2.75" customHeight="1" s="27">
      <c r="A10" s="9">
        <f>ROW()-4</f>
        <v/>
      </c>
      <c r="B10" s="13" t="inlineStr">
        <is>
          <t>Resend Verification Email</t>
        </is>
      </c>
      <c r="C10" s="13" t="inlineStr">
        <is>
          <t>Authentication</t>
        </is>
      </c>
      <c r="D10" s="13" t="inlineStr">
        <is>
          <t>Button on login or profile prompts new email with rate limit. Cooldown prevents spam; success message always generic.</t>
        </is>
      </c>
      <c r="E10" s="13" t="inlineStr">
        <is>
          <t>TruongNTCE180140</t>
        </is>
      </c>
      <c r="F10" s="14" t="inlineStr">
        <is>
          <t>To Do</t>
        </is>
      </c>
      <c r="G10" s="13" t="n"/>
      <c r="H10" s="13" t="n"/>
      <c r="I10" s="13" t="n"/>
      <c r="J10" s="15">
        <f>IF(L10="Simple",60,IF(L10="Medium",120,240))*IF(M10="Low",50%,IF(M10="Medium",75%,100%))</f>
        <v/>
      </c>
      <c r="K10" s="13" t="n"/>
      <c r="L10" s="13" t="inlineStr">
        <is>
          <t>Simple</t>
        </is>
      </c>
      <c r="M10" s="13" t="inlineStr">
        <is>
          <t>High</t>
        </is>
      </c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2.75" customHeight="1" s="27">
      <c r="A11" s="9">
        <f>ROW()-4</f>
        <v/>
      </c>
      <c r="B11" s="13" t="inlineStr">
        <is>
          <t>Change Password (logged in)</t>
        </is>
      </c>
      <c r="C11" s="13" t="inlineStr">
        <is>
          <t>Authentication</t>
        </is>
      </c>
      <c r="D11" s="13" t="inlineStr">
        <is>
          <t>Require current password, new password, confirmation. Weak password rejected; success forces re-login or updates session. Verify current password then persist new hash. Wrong current password blocked; audit timestamp updated.</t>
        </is>
      </c>
      <c r="E11" s="13" t="inlineStr">
        <is>
          <t>TruongNTCE180140</t>
        </is>
      </c>
      <c r="F11" s="14" t="inlineStr">
        <is>
          <t>To Do</t>
        </is>
      </c>
      <c r="G11" s="13" t="n"/>
      <c r="H11" s="13" t="n"/>
      <c r="I11" s="13" t="n"/>
      <c r="J11" s="15">
        <f>IF(L11="Simple",60,IF(L11="Medium",120,240))*IF(M11="Low",50%,IF(M11="Medium",75%,100%))</f>
        <v/>
      </c>
      <c r="K11" s="13" t="n"/>
      <c r="L11" s="13" t="inlineStr">
        <is>
          <t>Simple</t>
        </is>
      </c>
      <c r="M11" s="13" t="inlineStr">
        <is>
          <t>High</t>
        </is>
      </c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2.75" customHeight="1" s="27">
      <c r="A12" s="9">
        <f>ROW()-4</f>
        <v/>
      </c>
      <c r="B12" s="13" t="inlineStr">
        <is>
          <t>View Accounts List</t>
        </is>
      </c>
      <c r="C12" s="13" t="inlineStr">
        <is>
          <t>Account Management</t>
        </is>
      </c>
      <c r="D12" s="13" t="inlineStr">
        <is>
          <t>Paginated table with role, status, email, name; search and filters. Search by name or email with debounce. Filter by role and active status works; pagination stable.</t>
        </is>
      </c>
      <c r="E12" s="13" t="inlineStr">
        <is>
          <t>KhoaNNCE181612</t>
        </is>
      </c>
      <c r="F12" s="14" t="inlineStr">
        <is>
          <t>To Do</t>
        </is>
      </c>
      <c r="G12" s="13" t="n"/>
      <c r="H12" s="13" t="n"/>
      <c r="I12" s="13" t="n"/>
      <c r="J12" s="15">
        <f>IF(L12="Simple",60,IF(L12="Medium",120,240))*IF(M12="Low",50%,IF(M12="Medium",75%,100%))</f>
        <v/>
      </c>
      <c r="K12" s="13" t="n"/>
      <c r="L12" s="13" t="inlineStr">
        <is>
          <t>Medium</t>
        </is>
      </c>
      <c r="M12" s="13" t="inlineStr">
        <is>
          <t>High</t>
        </is>
      </c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2.75" customHeight="1" s="27">
      <c r="A13" s="9">
        <f>ROW()-4</f>
        <v/>
      </c>
      <c r="B13" s="13" t="inlineStr">
        <is>
          <t>View Account Detail</t>
        </is>
      </c>
      <c r="C13" s="13" t="inlineStr">
        <is>
          <t>Account Management</t>
        </is>
      </c>
      <c r="D13" s="13" t="inlineStr">
        <is>
          <t>Show role, status, linked doctor/patient id, last login. Read-only sections match database; broken links show N/A.</t>
        </is>
      </c>
      <c r="E13" s="13" t="inlineStr">
        <is>
          <t>KhoaNNCE181612</t>
        </is>
      </c>
      <c r="F13" s="14" t="inlineStr">
        <is>
          <t>To Do</t>
        </is>
      </c>
      <c r="G13" s="13" t="n"/>
      <c r="H13" s="13" t="n"/>
      <c r="I13" s="13" t="n"/>
      <c r="J13" s="15">
        <f>IF(L13="Simple",60,IF(L13="Medium",120,240))*IF(M13="Low",50%,IF(M13="Medium",75%,100%))</f>
        <v/>
      </c>
      <c r="K13" s="13" t="n"/>
      <c r="L13" s="13" t="inlineStr">
        <is>
          <t>Simple</t>
        </is>
      </c>
      <c r="M13" s="13" t="inlineStr">
        <is>
          <t>High</t>
        </is>
      </c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2.75" customHeight="1" s="27">
      <c r="A14" s="9">
        <f>ROW()-4</f>
        <v/>
      </c>
      <c r="B14" s="13" t="inlineStr">
        <is>
          <t>Create Account (Staff)</t>
        </is>
      </c>
      <c r="C14" s="13" t="inlineStr">
        <is>
          <t>Account Management</t>
        </is>
      </c>
      <c r="D14" s="13" t="inlineStr">
        <is>
          <t>Fields for role, email, name, phone, temporary password policy. Role required; duplicate email blocked on submit. Persist user and role; optional welcome email stub. Doctor role creates link placeholder for doctor profile completion.</t>
        </is>
      </c>
      <c r="E14" s="13" t="inlineStr">
        <is>
          <t>ThangNDCE180608</t>
        </is>
      </c>
      <c r="F14" s="14" t="inlineStr">
        <is>
          <t>To Do</t>
        </is>
      </c>
      <c r="G14" s="13" t="n"/>
      <c r="H14" s="13" t="n"/>
      <c r="I14" s="13" t="n"/>
      <c r="J14" s="15">
        <f>IF(L14="Simple",60,IF(L14="Medium",120,240))*IF(M14="Low",50%,IF(M14="Medium",75%,100%))</f>
        <v/>
      </c>
      <c r="K14" s="13" t="n"/>
      <c r="L14" s="13" t="inlineStr">
        <is>
          <t>Simple</t>
        </is>
      </c>
      <c r="M14" s="13" t="inlineStr">
        <is>
          <t>High</t>
        </is>
      </c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2.75" customHeight="1" s="27">
      <c r="A15" s="9">
        <f>ROW()-4</f>
        <v/>
      </c>
      <c r="B15" s="13" t="inlineStr">
        <is>
          <t>Update Account</t>
        </is>
      </c>
      <c r="C15" s="13" t="inlineStr">
        <is>
          <t>Account Management</t>
        </is>
      </c>
      <c r="D15" s="13" t="inlineStr">
        <is>
          <t>Load existing user; editable contact fields. Email uniqueness enforced; cancel discards changes. Validate and persist; show success toast. Changes visible on next login and account detail.</t>
        </is>
      </c>
      <c r="E15" s="13" t="inlineStr">
        <is>
          <t>ThangDQCE182036</t>
        </is>
      </c>
      <c r="F15" s="14" t="inlineStr">
        <is>
          <t>To Do</t>
        </is>
      </c>
      <c r="G15" s="13" t="n"/>
      <c r="H15" s="13" t="n"/>
      <c r="I15" s="13" t="n"/>
      <c r="J15" s="15">
        <f>IF(L15="Simple",60,IF(L15="Medium",120,240))*IF(M15="Low",50%,IF(M15="Medium",75%,100%))</f>
        <v/>
      </c>
      <c r="K15" s="13" t="n"/>
      <c r="L15" s="13" t="inlineStr">
        <is>
          <t>Simple</t>
        </is>
      </c>
      <c r="M15" s="13" t="inlineStr">
        <is>
          <t>High</t>
        </is>
      </c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2.75" customHeight="1" s="27">
      <c r="A16" s="9">
        <f>ROW()-4</f>
        <v/>
      </c>
      <c r="B16" s="13" t="inlineStr">
        <is>
          <t>Change User Role</t>
        </is>
      </c>
      <c r="C16" s="13" t="inlineStr">
        <is>
          <t>Account Management</t>
        </is>
      </c>
      <c r="D16" s="13" t="inlineStr">
        <is>
          <t>Dropdown roles: patient, doctor, admin; confirm dialog. Permissions take effect on next request; action logged.</t>
        </is>
      </c>
      <c r="E16" s="13" t="inlineStr">
        <is>
          <t>ThangNDCE180608</t>
        </is>
      </c>
      <c r="F16" s="14" t="inlineStr">
        <is>
          <t>To Do</t>
        </is>
      </c>
      <c r="G16" s="13" t="n"/>
      <c r="H16" s="13" t="n"/>
      <c r="I16" s="13" t="n"/>
      <c r="J16" s="15">
        <f>IF(L16="Simple",60,IF(L16="Medium",120,240))*IF(M16="Low",50%,IF(M16="Medium",75%,100%))</f>
        <v/>
      </c>
      <c r="K16" s="13" t="n"/>
      <c r="L16" s="13" t="inlineStr">
        <is>
          <t>Simple</t>
        </is>
      </c>
      <c r="M16" s="13" t="inlineStr">
        <is>
          <t>High</t>
        </is>
      </c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2.75" customHeight="1" s="27">
      <c r="A17" s="9">
        <f>ROW()-4</f>
        <v/>
      </c>
      <c r="B17" s="13" t="inlineStr">
        <is>
          <t>Deactivate / Restore Account</t>
        </is>
      </c>
      <c r="C17" s="13" t="inlineStr">
        <is>
          <t>Account Management</t>
        </is>
      </c>
      <c r="D17" s="13" t="inlineStr">
        <is>
          <t>Confirm dialog; set inactive flag. Deactivated user cannot login; data retained. Reactivate inactive user from account detail. Restored user can login if password still valid.</t>
        </is>
      </c>
      <c r="E17" s="13" t="inlineStr">
        <is>
          <t>TanhNTCE182341</t>
        </is>
      </c>
      <c r="F17" s="14" t="inlineStr">
        <is>
          <t>To Do</t>
        </is>
      </c>
      <c r="G17" s="13" t="n"/>
      <c r="H17" s="13" t="n"/>
      <c r="I17" s="13" t="n"/>
      <c r="J17" s="15">
        <f>IF(L17="Simple",60,IF(L17="Medium",120,240))*IF(M17="Low",50%,IF(M17="Medium",75%,100%))</f>
        <v/>
      </c>
      <c r="K17" s="13" t="n"/>
      <c r="L17" s="13" t="inlineStr">
        <is>
          <t>Medium</t>
        </is>
      </c>
      <c r="M17" s="13" t="inlineStr">
        <is>
          <t>High</t>
        </is>
      </c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2.75" customHeight="1" s="27">
      <c r="A18" s="9">
        <f>ROW()-4</f>
        <v/>
      </c>
      <c r="B18" s="13" t="inlineStr">
        <is>
          <t>Create Specialty</t>
        </is>
      </c>
      <c r="C18" s="13" t="inlineStr">
        <is>
          <t>Specialty Management</t>
        </is>
      </c>
      <c r="D18" s="13" t="inlineStr">
        <is>
          <t>Form with name, code, description. Name required unique. Persist specialty master record. Appears in specialty list.</t>
        </is>
      </c>
      <c r="E18" s="13" t="inlineStr">
        <is>
          <t>KhoaNNCE181612</t>
        </is>
      </c>
      <c r="F18" s="14" t="inlineStr">
        <is>
          <t>To Do</t>
        </is>
      </c>
      <c r="G18" s="13" t="n"/>
      <c r="H18" s="13" t="n"/>
      <c r="I18" s="13" t="n"/>
      <c r="J18" s="15">
        <f>IF(L18="Simple",60,IF(L18="Medium",120,240))*IF(M18="Low",50%,IF(M18="Medium",75%,100%))</f>
        <v/>
      </c>
      <c r="K18" s="13" t="n"/>
      <c r="L18" s="13" t="inlineStr">
        <is>
          <t>Simple</t>
        </is>
      </c>
      <c r="M18" s="13" t="inlineStr">
        <is>
          <t>High</t>
        </is>
      </c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2.75" customHeight="1" s="27">
      <c r="A19" s="9">
        <f>ROW()-4</f>
        <v/>
      </c>
      <c r="B19" s="13" t="inlineStr">
        <is>
          <t>View Specialties List</t>
        </is>
      </c>
      <c r="C19" s="13" t="inlineStr">
        <is>
          <t>Master Data</t>
        </is>
      </c>
      <c r="D19" s="13" t="inlineStr">
        <is>
          <t>Table for admin; compact list for filters elsewhere. Active only toggle.</t>
        </is>
      </c>
      <c r="E19" s="13" t="inlineStr">
        <is>
          <t>ThangDQCE182036</t>
        </is>
      </c>
      <c r="F19" s="14" t="inlineStr">
        <is>
          <t>To Do</t>
        </is>
      </c>
      <c r="G19" s="13" t="n"/>
      <c r="H19" s="13" t="n"/>
      <c r="I19" s="13" t="n"/>
      <c r="J19" s="15">
        <f>IF(L19="Simple",60,IF(L19="Medium",120,240))*IF(M19="Low",50%,IF(M19="Medium",75%,100%))</f>
        <v/>
      </c>
      <c r="K19" s="13" t="n"/>
      <c r="L19" s="13" t="inlineStr">
        <is>
          <t>Medium</t>
        </is>
      </c>
      <c r="M19" s="13" t="inlineStr">
        <is>
          <t>High</t>
        </is>
      </c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2.75" customHeight="1" s="27">
      <c r="A20" s="9">
        <f>ROW()-4</f>
        <v/>
      </c>
      <c r="B20" s="13" t="inlineStr">
        <is>
          <t>View Specialty Detail</t>
        </is>
      </c>
      <c r="C20" s="13" t="inlineStr">
        <is>
          <t>Specialty Management</t>
        </is>
      </c>
      <c r="D20" s="13" t="inlineStr">
        <is>
          <t>Read-only detail with linked doctors count. Links to doctor list filtered.</t>
        </is>
      </c>
      <c r="E20" s="13" t="inlineStr">
        <is>
          <t>TanhNTCE182341</t>
        </is>
      </c>
      <c r="F20" s="14" t="inlineStr">
        <is>
          <t>To Do</t>
        </is>
      </c>
      <c r="G20" s="13" t="n"/>
      <c r="H20" s="13" t="n"/>
      <c r="I20" s="13" t="n"/>
      <c r="J20" s="15">
        <f>IF(L20="Simple",60,IF(L20="Medium",120,240))*IF(M20="Low",50%,IF(M20="Medium",75%,100%))</f>
        <v/>
      </c>
      <c r="K20" s="13" t="n"/>
      <c r="L20" s="13" t="inlineStr">
        <is>
          <t>Simple</t>
        </is>
      </c>
      <c r="M20" s="13" t="inlineStr">
        <is>
          <t>High</t>
        </is>
      </c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2.75" customHeight="1" s="27">
      <c r="A21" s="9">
        <f>ROW()-4</f>
        <v/>
      </c>
      <c r="B21" s="13" t="inlineStr">
        <is>
          <t>Update Specialty</t>
        </is>
      </c>
      <c r="C21" s="13" t="inlineStr">
        <is>
          <t>Specialty Management</t>
        </is>
      </c>
      <c r="D21" s="13" t="inlineStr">
        <is>
          <t>Load and edit fields. Cancel restores original. Persist updates. List reflects changes.</t>
        </is>
      </c>
      <c r="E21" s="13" t="inlineStr">
        <is>
          <t>ThangNDCE180608</t>
        </is>
      </c>
      <c r="F21" s="14" t="inlineStr">
        <is>
          <t>To Do</t>
        </is>
      </c>
      <c r="G21" s="13" t="n"/>
      <c r="H21" s="13" t="n"/>
      <c r="I21" s="13" t="n"/>
      <c r="J21" s="15">
        <f>IF(L21="Simple",60,IF(L21="Medium",120,240))*IF(M21="Low",50%,IF(M21="Medium",75%,100%))</f>
        <v/>
      </c>
      <c r="K21" s="13" t="n"/>
      <c r="L21" s="13" t="inlineStr">
        <is>
          <t>Simple</t>
        </is>
      </c>
      <c r="M21" s="13" t="inlineStr">
        <is>
          <t>High</t>
        </is>
      </c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2.75" customHeight="1" s="27">
      <c r="A22" s="9">
        <f>ROW()-4</f>
        <v/>
      </c>
      <c r="B22" s="13" t="inlineStr">
        <is>
          <t>Delete Specialty</t>
        </is>
      </c>
      <c r="C22" s="13" t="inlineStr">
        <is>
          <t>Specialty Management</t>
        </is>
      </c>
      <c r="D22" s="13" t="inlineStr">
        <is>
          <t>Soft-delete with guard if doctors linked. Blocked with message if in use.</t>
        </is>
      </c>
      <c r="E22" s="13" t="inlineStr">
        <is>
          <t>KhoaNNCE181612</t>
        </is>
      </c>
      <c r="F22" s="14" t="inlineStr">
        <is>
          <t>To Do</t>
        </is>
      </c>
      <c r="G22" s="13" t="n"/>
      <c r="H22" s="13" t="n"/>
      <c r="I22" s="13" t="n"/>
      <c r="J22" s="15">
        <f>IF(L22="Simple",60,IF(L22="Medium",120,240))*IF(M22="Low",50%,IF(M22="Medium",75%,100%))</f>
        <v/>
      </c>
      <c r="K22" s="13" t="n"/>
      <c r="L22" s="13" t="inlineStr">
        <is>
          <t>Simple</t>
        </is>
      </c>
      <c r="M22" s="13" t="inlineStr">
        <is>
          <t>High</t>
        </is>
      </c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2.75" customHeight="1" s="27">
      <c r="A23" s="9">
        <f>ROW()-4</f>
        <v/>
      </c>
      <c r="B23" s="13" t="inlineStr">
        <is>
          <t>Create Department</t>
        </is>
      </c>
      <c r="C23" s="13" t="inlineStr">
        <is>
          <t>Department Management</t>
        </is>
      </c>
      <c r="D23" s="13" t="inlineStr">
        <is>
          <t>Name, location, phone, status. Required fields validated. Create department record. Visible in department list.</t>
        </is>
      </c>
      <c r="E23" s="13" t="inlineStr">
        <is>
          <t>ThangDQCE182036</t>
        </is>
      </c>
      <c r="F23" s="14" t="inlineStr">
        <is>
          <t>To Do</t>
        </is>
      </c>
      <c r="G23" s="13" t="n"/>
      <c r="H23" s="13" t="n"/>
      <c r="I23" s="13" t="n"/>
      <c r="J23" s="15">
        <f>IF(L23="Simple",60,IF(L23="Medium",120,240))*IF(M23="Low",50%,IF(M23="Medium",75%,100%))</f>
        <v/>
      </c>
      <c r="K23" s="13" t="n"/>
      <c r="L23" s="13" t="inlineStr">
        <is>
          <t>Simple</t>
        </is>
      </c>
      <c r="M23" s="13" t="inlineStr">
        <is>
          <t>High</t>
        </is>
      </c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2.75" customHeight="1" s="27">
      <c r="A24" s="9">
        <f>ROW()-4</f>
        <v/>
      </c>
      <c r="B24" s="13" t="inlineStr">
        <is>
          <t>View Departments List</t>
        </is>
      </c>
      <c r="C24" s="13" t="inlineStr">
        <is>
          <t>Department Management</t>
        </is>
      </c>
      <c r="D24" s="13" t="inlineStr">
        <is>
          <t>Table with doctor count. Sort by name.</t>
        </is>
      </c>
      <c r="E24" s="13" t="inlineStr">
        <is>
          <t>ThangNDCE180608</t>
        </is>
      </c>
      <c r="F24" s="14" t="inlineStr">
        <is>
          <t>To Do</t>
        </is>
      </c>
      <c r="G24" s="13" t="n"/>
      <c r="H24" s="13" t="n"/>
      <c r="I24" s="13" t="n"/>
      <c r="J24" s="15">
        <f>IF(L24="Simple",60,IF(L24="Medium",120,240))*IF(M24="Low",50%,IF(M24="Medium",75%,100%))</f>
        <v/>
      </c>
      <c r="K24" s="13" t="n"/>
      <c r="L24" s="13" t="inlineStr">
        <is>
          <t>Medium</t>
        </is>
      </c>
      <c r="M24" s="13" t="inlineStr">
        <is>
          <t>High</t>
        </is>
      </c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2.75" customHeight="1" s="27">
      <c r="A25" s="9">
        <f>ROW()-4</f>
        <v/>
      </c>
      <c r="B25" s="13" t="inlineStr">
        <is>
          <t>View Department Detail</t>
        </is>
      </c>
      <c r="C25" s="13" t="inlineStr">
        <is>
          <t>Department Management</t>
        </is>
      </c>
      <c r="D25" s="13" t="inlineStr">
        <is>
          <t>Detail with rooms and doctors summary. Breadcrumb navigation.</t>
        </is>
      </c>
      <c r="E25" s="13" t="inlineStr">
        <is>
          <t>ThangDQCE182036</t>
        </is>
      </c>
      <c r="F25" s="14" t="inlineStr">
        <is>
          <t>To Do</t>
        </is>
      </c>
      <c r="G25" s="13" t="n"/>
      <c r="H25" s="13" t="n"/>
      <c r="I25" s="13" t="n"/>
      <c r="J25" s="15">
        <f>IF(L25="Simple",60,IF(L25="Medium",120,240))*IF(M25="Low",50%,IF(M25="Medium",75%,100%))</f>
        <v/>
      </c>
      <c r="K25" s="13" t="n"/>
      <c r="L25" s="13" t="inlineStr">
        <is>
          <t>Simple</t>
        </is>
      </c>
      <c r="M25" s="13" t="inlineStr">
        <is>
          <t>High</t>
        </is>
      </c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2.75" customHeight="1" s="27">
      <c r="A26" s="9">
        <f>ROW()-4</f>
        <v/>
      </c>
      <c r="B26" s="13" t="inlineStr">
        <is>
          <t>Update Department</t>
        </is>
      </c>
      <c r="C26" s="13" t="inlineStr">
        <is>
          <t>Department Management</t>
        </is>
      </c>
      <c r="D26" s="13" t="inlineStr">
        <is>
          <t>Edit metadata. Deactivate option. Persist changes. Inactive hidden from patient filters.</t>
        </is>
      </c>
      <c r="E26" s="13" t="inlineStr">
        <is>
          <t>TanhNTCE182341</t>
        </is>
      </c>
      <c r="F26" s="14" t="inlineStr">
        <is>
          <t>To Do</t>
        </is>
      </c>
      <c r="G26" s="13" t="n"/>
      <c r="H26" s="13" t="n"/>
      <c r="I26" s="13" t="n"/>
      <c r="J26" s="15">
        <f>IF(L26="Simple",60,IF(L26="Medium",120,240))*IF(M26="Low",50%,IF(M26="Medium",75%,100%))</f>
        <v/>
      </c>
      <c r="K26" s="13" t="n"/>
      <c r="L26" s="13" t="inlineStr">
        <is>
          <t>Simple</t>
        </is>
      </c>
      <c r="M26" s="13" t="inlineStr">
        <is>
          <t>High</t>
        </is>
      </c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2.75" customHeight="1" s="27">
      <c r="A27" s="9">
        <f>ROW()-4</f>
        <v/>
      </c>
      <c r="B27" s="13" t="inlineStr">
        <is>
          <t>Deactivate Department</t>
        </is>
      </c>
      <c r="C27" s="13" t="inlineStr">
        <is>
          <t>Department Management</t>
        </is>
      </c>
      <c r="D27" s="13" t="inlineStr">
        <is>
          <t>Soft-delete when no critical deps. Warning if doctors assigned.</t>
        </is>
      </c>
      <c r="E27" s="13" t="inlineStr">
        <is>
          <t>TanhNTCE182341</t>
        </is>
      </c>
      <c r="F27" s="14" t="inlineStr">
        <is>
          <t>To Do</t>
        </is>
      </c>
      <c r="G27" s="13" t="n"/>
      <c r="H27" s="13" t="n"/>
      <c r="I27" s="13" t="n"/>
      <c r="J27" s="15">
        <f>IF(L27="Simple",60,IF(L27="Medium",120,240))*IF(M27="Low",50%,IF(M27="Medium",75%,100%))</f>
        <v/>
      </c>
      <c r="K27" s="13" t="n"/>
      <c r="L27" s="13" t="inlineStr">
        <is>
          <t>Simple</t>
        </is>
      </c>
      <c r="M27" s="13" t="inlineStr">
        <is>
          <t>High</t>
        </is>
      </c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2.75" customHeight="1" s="27">
      <c r="A28" s="9">
        <f>ROW()-4</f>
        <v/>
      </c>
      <c r="B28" s="13" t="inlineStr">
        <is>
          <t>Create Clinic Room</t>
        </is>
      </c>
      <c r="C28" s="13" t="inlineStr">
        <is>
          <t>Facility Management</t>
        </is>
      </c>
      <c r="D28" s="13" t="inlineStr">
        <is>
          <t>Room code, department, floor, equipment notes. Department required. Persist room. Shows in room list.</t>
        </is>
      </c>
      <c r="E28" s="13" t="inlineStr">
        <is>
          <t>KhoaNNCE181612</t>
        </is>
      </c>
      <c r="F28" s="14" t="inlineStr">
        <is>
          <t>To Do</t>
        </is>
      </c>
      <c r="G28" s="13" t="n"/>
      <c r="H28" s="13" t="n"/>
      <c r="I28" s="13" t="n"/>
      <c r="J28" s="15">
        <f>IF(L28="Simple",60,IF(L28="Medium",120,240))*IF(M28="Low",50%,IF(M28="Medium",75%,100%))</f>
        <v/>
      </c>
      <c r="K28" s="13" t="n"/>
      <c r="L28" s="13" t="inlineStr">
        <is>
          <t>Simple</t>
        </is>
      </c>
      <c r="M28" s="13" t="inlineStr">
        <is>
          <t>High</t>
        </is>
      </c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2.75" customHeight="1" s="27">
      <c r="A29" s="9">
        <f>ROW()-4</f>
        <v/>
      </c>
      <c r="B29" s="13" t="inlineStr">
        <is>
          <t>View Clinic Rooms List</t>
        </is>
      </c>
      <c r="C29" s="13" t="inlineStr">
        <is>
          <t>Facility Management</t>
        </is>
      </c>
      <c r="D29" s="13" t="inlineStr">
        <is>
          <t>Filter by department. Availability flag column.</t>
        </is>
      </c>
      <c r="E29" s="13" t="inlineStr">
        <is>
          <t>KhoaNNCE181612</t>
        </is>
      </c>
      <c r="F29" s="14" t="inlineStr">
        <is>
          <t>To Do</t>
        </is>
      </c>
      <c r="G29" s="13" t="n"/>
      <c r="H29" s="13" t="n"/>
      <c r="I29" s="13" t="n"/>
      <c r="J29" s="15">
        <f>IF(L29="Simple",60,IF(L29="Medium",120,240))*IF(M29="Low",50%,IF(M29="Medium",75%,100%))</f>
        <v/>
      </c>
      <c r="K29" s="13" t="n"/>
      <c r="L29" s="13" t="inlineStr">
        <is>
          <t>Medium</t>
        </is>
      </c>
      <c r="M29" s="13" t="inlineStr">
        <is>
          <t>High</t>
        </is>
      </c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2.75" customHeight="1" s="27">
      <c r="A30" s="9">
        <f>ROW()-4</f>
        <v/>
      </c>
      <c r="B30" s="13" t="inlineStr">
        <is>
          <t>Update Clinic Room</t>
        </is>
      </c>
      <c r="C30" s="13" t="inlineStr">
        <is>
          <t>Facility Management</t>
        </is>
      </c>
      <c r="D30" s="13" t="inlineStr">
        <is>
          <t>Update room attributes. Validation on code unique per dept. Persist. List updated.</t>
        </is>
      </c>
      <c r="E30" s="13" t="inlineStr">
        <is>
          <t>ThangNDCE180608</t>
        </is>
      </c>
      <c r="F30" s="14" t="inlineStr">
        <is>
          <t>To Do</t>
        </is>
      </c>
      <c r="G30" s="13" t="n"/>
      <c r="H30" s="13" t="n"/>
      <c r="I30" s="13" t="n"/>
      <c r="J30" s="15">
        <f>IF(L30="Simple",60,IF(L30="Medium",120,240))*IF(M30="Low",50%,IF(M30="Medium",75%,100%))</f>
        <v/>
      </c>
      <c r="K30" s="13" t="n"/>
      <c r="L30" s="13" t="inlineStr">
        <is>
          <t>Simple</t>
        </is>
      </c>
      <c r="M30" s="13" t="inlineStr">
        <is>
          <t>High</t>
        </is>
      </c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2.75" customHeight="1" s="27">
      <c r="A31" s="9">
        <f>ROW()-4</f>
        <v/>
      </c>
      <c r="B31" s="13" t="inlineStr">
        <is>
          <t>Create Doctor</t>
        </is>
      </c>
      <c r="C31" s="13" t="inlineStr">
        <is>
          <t>Doctor Management</t>
        </is>
      </c>
      <c r="D31" s="13" t="inlineStr">
        <is>
          <t>Personal info, specialty, department, license, bio, photo URL, linked account email. Creates doctor + user; specialty/department dropdowns from master data. Persist doctor profile and link to user account. Doctor active by default; appears in patient search.</t>
        </is>
      </c>
      <c r="E31" s="13" t="inlineStr">
        <is>
          <t>ThangNDCE180608</t>
        </is>
      </c>
      <c r="F31" s="14" t="inlineStr">
        <is>
          <t>To Do</t>
        </is>
      </c>
      <c r="G31" s="13" t="n"/>
      <c r="H31" s="13" t="n"/>
      <c r="I31" s="13" t="n"/>
      <c r="J31" s="15">
        <f>IF(L31="Simple",60,IF(L31="Medium",120,240))*IF(M31="Low",50%,IF(M31="Medium",75%,100%))</f>
        <v/>
      </c>
      <c r="K31" s="13" t="n"/>
      <c r="L31" s="13" t="inlineStr">
        <is>
          <t>Simple</t>
        </is>
      </c>
      <c r="M31" s="13" t="inlineStr">
        <is>
          <t>High</t>
        </is>
      </c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2.75" customHeight="1" s="27">
      <c r="A32" s="9">
        <f>ROW()-4</f>
        <v/>
      </c>
      <c r="B32" s="13" t="inlineStr">
        <is>
          <t>View Doctors List (Admin)</t>
        </is>
      </c>
      <c r="C32" s="13" t="inlineStr">
        <is>
          <t>Doctor Management</t>
        </is>
      </c>
      <c r="D32" s="13" t="inlineStr">
        <is>
          <t>Filters: specialty, department, status, name. Export button visible; pagination works.</t>
        </is>
      </c>
      <c r="E32" s="13" t="inlineStr">
        <is>
          <t>ThangNDCE180608</t>
        </is>
      </c>
      <c r="F32" s="14" t="inlineStr">
        <is>
          <t>To Do</t>
        </is>
      </c>
      <c r="G32" s="13" t="n"/>
      <c r="H32" s="13" t="n"/>
      <c r="I32" s="13" t="n"/>
      <c r="J32" s="15">
        <f>IF(L32="Simple",60,IF(L32="Medium",120,240))*IF(M32="Low",50%,IF(M32="Medium",75%,100%))</f>
        <v/>
      </c>
      <c r="K32" s="13" t="n"/>
      <c r="L32" s="13" t="inlineStr">
        <is>
          <t>Simple</t>
        </is>
      </c>
      <c r="M32" s="13" t="inlineStr">
        <is>
          <t>High</t>
        </is>
      </c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2.75" customHeight="1" s="27">
      <c r="A33" s="9">
        <f>ROW()-4</f>
        <v/>
      </c>
      <c r="B33" s="13" t="inlineStr">
        <is>
          <t>View Doctors List (Patient)</t>
        </is>
      </c>
      <c r="C33" s="13" t="inlineStr">
        <is>
          <t>Doctor Management</t>
        </is>
      </c>
      <c r="D33" s="13" t="inlineStr">
        <is>
          <t>Card/list layout; only active doctors. Inactive doctors never shown.</t>
        </is>
      </c>
      <c r="E33" s="13" t="inlineStr">
        <is>
          <t>ThangDQCE182036</t>
        </is>
      </c>
      <c r="F33" s="14" t="inlineStr">
        <is>
          <t>To Do</t>
        </is>
      </c>
      <c r="G33" s="13" t="n"/>
      <c r="H33" s="13" t="n"/>
      <c r="I33" s="13" t="n"/>
      <c r="J33" s="15">
        <f>IF(L33="Simple",60,IF(L33="Medium",120,240))*IF(M33="Low",50%,IF(M33="Medium",75%,100%))</f>
        <v/>
      </c>
      <c r="K33" s="13" t="n"/>
      <c r="L33" s="13" t="inlineStr">
        <is>
          <t>Simple</t>
        </is>
      </c>
      <c r="M33" s="13" t="inlineStr">
        <is>
          <t>High</t>
        </is>
      </c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2.75" customHeight="1" s="27">
      <c r="A34" s="9">
        <f>ROW()-4</f>
        <v/>
      </c>
      <c r="B34" s="13" t="inlineStr">
        <is>
          <t>View Doctor Detail (Admin)</t>
        </is>
      </c>
      <c r="C34" s="13" t="inlineStr">
        <is>
          <t>Doctor Management</t>
        </is>
      </c>
      <c r="D34" s="13" t="inlineStr">
        <is>
          <t>Full profile, account status, schedule summary placeholder. Edit and deactivate actions available.</t>
        </is>
      </c>
      <c r="E34" s="13" t="inlineStr">
        <is>
          <t>TanhNTCE182341</t>
        </is>
      </c>
      <c r="F34" s="14" t="inlineStr">
        <is>
          <t>To Do</t>
        </is>
      </c>
      <c r="G34" s="13" t="n"/>
      <c r="H34" s="13" t="n"/>
      <c r="I34" s="13" t="n"/>
      <c r="J34" s="15">
        <f>IF(L34="Simple",60,IF(L34="Medium",120,240))*IF(M34="Low",50%,IF(M34="Medium",75%,100%))</f>
        <v/>
      </c>
      <c r="K34" s="13" t="n"/>
      <c r="L34" s="13" t="inlineStr">
        <is>
          <t>Simple</t>
        </is>
      </c>
      <c r="M34" s="13" t="inlineStr">
        <is>
          <t>High</t>
        </is>
      </c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2.75" customHeight="1" s="27">
      <c r="A35" s="9">
        <f>ROW()-4</f>
        <v/>
      </c>
      <c r="B35" s="13" t="inlineStr">
        <is>
          <t>View Doctor Public Profile</t>
        </is>
      </c>
      <c r="C35" s="13" t="inlineStr">
        <is>
          <t>Doctor Management</t>
        </is>
      </c>
      <c r="D35" s="13" t="inlineStr">
        <is>
          <t>Photo, specialty, reviews summary, languages, workplace. Book CTA visible when logged in.</t>
        </is>
      </c>
      <c r="E35" s="13" t="inlineStr">
        <is>
          <t>KhoaNNCE181612</t>
        </is>
      </c>
      <c r="F35" s="14" t="inlineStr">
        <is>
          <t>To Do</t>
        </is>
      </c>
      <c r="G35" s="13" t="n"/>
      <c r="H35" s="13" t="n"/>
      <c r="I35" s="13" t="n"/>
      <c r="J35" s="15">
        <f>IF(L35="Simple",60,IF(L35="Medium",120,240))*IF(M35="Low",50%,IF(M35="Medium",75%,100%))</f>
        <v/>
      </c>
      <c r="K35" s="13" t="n"/>
      <c r="L35" s="13" t="inlineStr">
        <is>
          <t>Simple</t>
        </is>
      </c>
      <c r="M35" s="13" t="inlineStr">
        <is>
          <t>High</t>
        </is>
      </c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2.75" customHeight="1" s="27">
      <c r="A36" s="9">
        <f>ROW()-4</f>
        <v/>
      </c>
      <c r="B36" s="13" t="inlineStr">
        <is>
          <t>Update Doctor</t>
        </is>
      </c>
      <c r="C36" s="13" t="inlineStr">
        <is>
          <t>Doctor Management</t>
        </is>
      </c>
      <c r="D36" s="13" t="inlineStr">
        <is>
          <t>Editable professional fields and status. Cannot break linked account email uniqueness. Persist updates to doctor and optional user fields. Patient search reflects new specialty/department.</t>
        </is>
      </c>
      <c r="E36" s="13" t="inlineStr">
        <is>
          <t>ThangDQCE182036</t>
        </is>
      </c>
      <c r="F36" s="14" t="inlineStr">
        <is>
          <t>To Do</t>
        </is>
      </c>
      <c r="G36" s="13" t="n"/>
      <c r="H36" s="13" t="n"/>
      <c r="I36" s="13" t="n"/>
      <c r="J36" s="15">
        <f>IF(L36="Simple",60,IF(L36="Medium",120,240))*IF(M36="Low",50%,IF(M36="Medium",75%,100%))</f>
        <v/>
      </c>
      <c r="K36" s="13" t="n"/>
      <c r="L36" s="13" t="inlineStr">
        <is>
          <t>Simple</t>
        </is>
      </c>
      <c r="M36" s="13" t="inlineStr">
        <is>
          <t>High</t>
        </is>
      </c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2.75" customHeight="1" s="27">
      <c r="A37" s="9">
        <f>ROW()-4</f>
        <v/>
      </c>
      <c r="B37" s="13" t="inlineStr">
        <is>
          <t>Deactivate Doctor</t>
        </is>
      </c>
      <c r="C37" s="13" t="inlineStr">
        <is>
          <t>Doctor Management</t>
        </is>
      </c>
      <c r="D37" s="13" t="inlineStr">
        <is>
          <t>Confirm dialog; set inactive. Hidden from search; historical appointments kept.</t>
        </is>
      </c>
      <c r="E37" s="13" t="inlineStr">
        <is>
          <t>ThangNDCE180608</t>
        </is>
      </c>
      <c r="F37" s="14" t="inlineStr">
        <is>
          <t>To Do</t>
        </is>
      </c>
      <c r="G37" s="13" t="n"/>
      <c r="H37" s="13" t="n"/>
      <c r="I37" s="13" t="n"/>
      <c r="J37" s="15">
        <f>IF(L37="Simple",60,IF(L37="Medium",120,240))*IF(M37="Low",50%,IF(M37="Medium",75%,100%))</f>
        <v/>
      </c>
      <c r="K37" s="13" t="n"/>
      <c r="L37" s="13" t="inlineStr">
        <is>
          <t>Simple</t>
        </is>
      </c>
      <c r="M37" s="13" t="inlineStr">
        <is>
          <t>High</t>
        </is>
      </c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2.75" customHeight="1" s="27">
      <c r="A38" s="9">
        <f>ROW()-4</f>
        <v/>
      </c>
      <c r="B38" s="13" t="inlineStr">
        <is>
          <t>Import Doctors from Excel</t>
        </is>
      </c>
      <c r="C38" s="13" t="inlineStr">
        <is>
          <t>Doctor Management</t>
        </is>
      </c>
      <c r="D38" s="13" t="inlineStr">
        <is>
          <t>Upload template; row-level validation report. Valid rows created; errors downloadable.</t>
        </is>
      </c>
      <c r="E38" s="13" t="inlineStr">
        <is>
          <t>ThangDQCE182036</t>
        </is>
      </c>
      <c r="F38" s="14" t="inlineStr">
        <is>
          <t>To Do</t>
        </is>
      </c>
      <c r="G38" s="13" t="n"/>
      <c r="H38" s="13" t="n"/>
      <c r="I38" s="13" t="n"/>
      <c r="J38" s="15">
        <f>IF(L38="Simple",60,IF(L38="Medium",120,240))*IF(M38="Low",50%,IF(M38="Medium",75%,100%))</f>
        <v/>
      </c>
      <c r="K38" s="13" t="n"/>
      <c r="L38" s="13" t="inlineStr">
        <is>
          <t>Simple</t>
        </is>
      </c>
      <c r="M38" s="13" t="inlineStr">
        <is>
          <t>High</t>
        </is>
      </c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2.75" customHeight="1" s="27">
      <c r="A39" s="9">
        <f>ROW()-4</f>
        <v/>
      </c>
      <c r="B39" s="13" t="inlineStr">
        <is>
          <t>Export Doctors to Excel</t>
        </is>
      </c>
      <c r="C39" s="13" t="inlineStr">
        <is>
          <t>Doctor Management</t>
        </is>
      </c>
      <c r="D39" s="13" t="inlineStr">
        <is>
          <t>Download xlsx with filters applied. File opens with expected columns.</t>
        </is>
      </c>
      <c r="E39" s="13" t="inlineStr">
        <is>
          <t>ThangDQCE182036</t>
        </is>
      </c>
      <c r="F39" s="14" t="inlineStr">
        <is>
          <t>To Do</t>
        </is>
      </c>
      <c r="G39" s="13" t="n"/>
      <c r="H39" s="13" t="n"/>
      <c r="I39" s="13" t="n"/>
      <c r="J39" s="15">
        <f>IF(L39="Simple",60,IF(L39="Medium",120,240))*IF(M39="Low",50%,IF(M39="Medium",75%,100%))</f>
        <v/>
      </c>
      <c r="K39" s="13" t="n"/>
      <c r="L39" s="13" t="inlineStr">
        <is>
          <t>Simple</t>
        </is>
      </c>
      <c r="M39" s="13" t="inlineStr">
        <is>
          <t>High</t>
        </is>
      </c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2.75" customHeight="1" s="27">
      <c r="A40" s="9">
        <f>ROW()-4</f>
        <v/>
      </c>
      <c r="B40" s="13" t="inlineStr">
        <is>
          <t>Portal Home</t>
        </is>
      </c>
      <c r="C40" s="13" t="inlineStr">
        <is>
          <t>Patient Portal</t>
        </is>
      </c>
      <c r="D40" s="13" t="inlineStr">
        <is>
          <t>Hero, services, featured doctors, news strip, login/register CTAs. Guest sees CTAs; logged-in patient sees personalized shortcuts.</t>
        </is>
      </c>
      <c r="E40" s="13" t="inlineStr">
        <is>
          <t>TanhNTCE182341</t>
        </is>
      </c>
      <c r="F40" s="14" t="inlineStr">
        <is>
          <t>To Do</t>
        </is>
      </c>
      <c r="G40" s="13" t="n"/>
      <c r="H40" s="13" t="n"/>
      <c r="I40" s="13" t="n"/>
      <c r="J40" s="15">
        <f>IF(L40="Simple",60,IF(L40="Medium",120,240))*IF(M40="Low",50%,IF(M40="Medium",75%,100%))</f>
        <v/>
      </c>
      <c r="K40" s="13" t="n"/>
      <c r="L40" s="13" t="inlineStr">
        <is>
          <t>Simple</t>
        </is>
      </c>
      <c r="M40" s="13" t="inlineStr">
        <is>
          <t>High</t>
        </is>
      </c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2.75" customHeight="1" s="27">
      <c r="A41" s="9">
        <f>ROW()-4</f>
        <v/>
      </c>
      <c r="B41" s="13" t="inlineStr">
        <is>
          <t>Featured Doctors</t>
        </is>
      </c>
      <c r="C41" s="13" t="inlineStr">
        <is>
          <t>Patient Portal</t>
        </is>
      </c>
      <c r="D41" s="13" t="inlineStr">
        <is>
          <t>Carousel or grid of top N doctors. Click navigates to public profile.</t>
        </is>
      </c>
      <c r="E41" s="13" t="inlineStr">
        <is>
          <t>KhoaNNCE181612</t>
        </is>
      </c>
      <c r="F41" s="14" t="inlineStr">
        <is>
          <t>To Do</t>
        </is>
      </c>
      <c r="G41" s="13" t="n"/>
      <c r="H41" s="13" t="n"/>
      <c r="I41" s="13" t="n"/>
      <c r="J41" s="15">
        <f>IF(L41="Simple",60,IF(L41="Medium",120,240))*IF(M41="Low",50%,IF(M41="Medium",75%,100%))</f>
        <v/>
      </c>
      <c r="K41" s="13" t="n"/>
      <c r="L41" s="13" t="inlineStr">
        <is>
          <t>Simple</t>
        </is>
      </c>
      <c r="M41" s="13" t="inlineStr">
        <is>
          <t>High</t>
        </is>
      </c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2.75" customHeight="1" s="27">
      <c r="A42" s="9">
        <f>ROW()-4</f>
        <v/>
      </c>
      <c r="B42" s="13" t="inlineStr">
        <is>
          <t>Search Doctors</t>
        </is>
      </c>
      <c r="C42" s="13" t="inlineStr">
        <is>
          <t>Patient Portal</t>
        </is>
      </c>
      <c r="D42" s="13" t="inlineStr">
        <is>
          <t>Search box with partial match and pagination. Empty state when no results. Dropdown/chips from specialty master. Combines with name search. Department filter on search page. Clear filters resets list.</t>
        </is>
      </c>
      <c r="E42" s="13" t="inlineStr">
        <is>
          <t>TruongNTCE180140</t>
        </is>
      </c>
      <c r="F42" s="14" t="inlineStr">
        <is>
          <t>To Do</t>
        </is>
      </c>
      <c r="G42" s="13" t="n"/>
      <c r="H42" s="13" t="n"/>
      <c r="I42" s="13" t="n"/>
      <c r="J42" s="15">
        <f>IF(L42="Simple",60,IF(L42="Medium",120,240))*IF(M42="Low",50%,IF(M42="Medium",75%,100%))</f>
        <v/>
      </c>
      <c r="K42" s="13" t="n"/>
      <c r="L42" s="13" t="inlineStr">
        <is>
          <t>Complex</t>
        </is>
      </c>
      <c r="M42" s="13" t="inlineStr">
        <is>
          <t>High</t>
        </is>
      </c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2.75" customHeight="1" s="27">
      <c r="A43" s="9">
        <f>ROW()-4</f>
        <v/>
      </c>
      <c r="B43" s="13" t="inlineStr">
        <is>
          <t>View Own Profile</t>
        </is>
      </c>
      <c r="C43" s="13" t="inlineStr">
        <is>
          <t>Patient Profile</t>
        </is>
      </c>
      <c r="D43" s="13" t="inlineStr">
        <is>
          <t>Tabs: personal, contact, emergency, avatar. Read-only mode until edit clicked.</t>
        </is>
      </c>
      <c r="E43" s="13" t="inlineStr">
        <is>
          <t>ThangNDCE180608</t>
        </is>
      </c>
      <c r="F43" s="14" t="inlineStr">
        <is>
          <t>To Do</t>
        </is>
      </c>
      <c r="G43" s="13" t="n"/>
      <c r="H43" s="13" t="n"/>
      <c r="I43" s="13" t="n"/>
      <c r="J43" s="15">
        <f>IF(L43="Simple",60,IF(L43="Medium",120,240))*IF(M43="Low",50%,IF(M43="Medium",75%,100%))</f>
        <v/>
      </c>
      <c r="K43" s="13" t="n"/>
      <c r="L43" s="13" t="inlineStr">
        <is>
          <t>Simple</t>
        </is>
      </c>
      <c r="M43" s="13" t="inlineStr">
        <is>
          <t>High</t>
        </is>
      </c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2.75" customHeight="1" s="27">
      <c r="A44" s="9">
        <f>ROW()-4</f>
        <v/>
      </c>
      <c r="B44" s="13" t="inlineStr">
        <is>
          <t>Update Own Profile</t>
        </is>
      </c>
      <c r="C44" s="13" t="inlineStr">
        <is>
          <t>Patient Profile</t>
        </is>
      </c>
      <c r="D44" s="13" t="inlineStr">
        <is>
          <t>Editable allowed fields with validation. Cancel discards; save shows confirmation. PATCH profile for own user only. 403 if editing others; success message shown.</t>
        </is>
      </c>
      <c r="E44" s="13" t="inlineStr">
        <is>
          <t>ThangDQCE182036</t>
        </is>
      </c>
      <c r="F44" s="14" t="inlineStr">
        <is>
          <t>To Do</t>
        </is>
      </c>
      <c r="G44" s="13" t="n"/>
      <c r="H44" s="13" t="n"/>
      <c r="I44" s="13" t="n"/>
      <c r="J44" s="15">
        <f>IF(L44="Simple",60,IF(L44="Medium",120,240))*IF(M44="Low",50%,IF(M44="Medium",75%,100%))</f>
        <v/>
      </c>
      <c r="K44" s="13" t="n"/>
      <c r="L44" s="13" t="inlineStr">
        <is>
          <t>Simple</t>
        </is>
      </c>
      <c r="M44" s="13" t="inlineStr">
        <is>
          <t>High</t>
        </is>
      </c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2.75" customHeight="1" s="27">
      <c r="A45" s="9">
        <f>ROW()-4</f>
        <v/>
      </c>
      <c r="B45" s="13" t="inlineStr">
        <is>
          <t>Upload Profile Avatar</t>
        </is>
      </c>
      <c r="C45" s="13" t="inlineStr">
        <is>
          <t>Patient Profile</t>
        </is>
      </c>
      <c r="D45" s="13" t="inlineStr">
        <is>
          <t>Image picker, crop preview, size/type limits. Avatar updates in header after save.</t>
        </is>
      </c>
      <c r="E45" s="13" t="inlineStr">
        <is>
          <t>KhoaNNCE181612</t>
        </is>
      </c>
      <c r="F45" s="14" t="inlineStr">
        <is>
          <t>To Do</t>
        </is>
      </c>
      <c r="G45" s="13" t="n"/>
      <c r="H45" s="13" t="n"/>
      <c r="I45" s="13" t="n"/>
      <c r="J45" s="15">
        <f>IF(L45="Simple",60,IF(L45="Medium",120,240))*IF(M45="Low",50%,IF(M45="Medium",75%,100%))</f>
        <v/>
      </c>
      <c r="K45" s="13" t="n"/>
      <c r="L45" s="13" t="inlineStr">
        <is>
          <t>Medium</t>
        </is>
      </c>
      <c r="M45" s="13" t="inlineStr">
        <is>
          <t>High</t>
        </is>
      </c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2.75" customHeight="1" s="27">
      <c r="A46" s="9">
        <f>ROW()-4</f>
        <v/>
      </c>
      <c r="B46" s="13" t="inlineStr">
        <is>
          <t>View Patients List (Admin)</t>
        </is>
      </c>
      <c r="C46" s="13" t="inlineStr">
        <is>
          <t>Patient Profile</t>
        </is>
      </c>
      <c r="D46" s="13" t="inlineStr">
        <is>
          <t>Search name/phone; pagination. Click row opens detail.</t>
        </is>
      </c>
      <c r="E46" s="13" t="inlineStr">
        <is>
          <t>TanhNTCE182341</t>
        </is>
      </c>
      <c r="F46" s="14" t="inlineStr">
        <is>
          <t>To Do</t>
        </is>
      </c>
      <c r="G46" s="13" t="n"/>
      <c r="H46" s="13" t="n"/>
      <c r="I46" s="13" t="n"/>
      <c r="J46" s="15">
        <f>IF(L46="Simple",60,IF(L46="Medium",120,240))*IF(M46="Low",50%,IF(M46="Medium",75%,100%))</f>
        <v/>
      </c>
      <c r="K46" s="13" t="n"/>
      <c r="L46" s="13" t="inlineStr">
        <is>
          <t>Medium</t>
        </is>
      </c>
      <c r="M46" s="13" t="inlineStr">
        <is>
          <t>High</t>
        </is>
      </c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2.75" customHeight="1" s="27">
      <c r="A47" s="9">
        <f>ROW()-4</f>
        <v/>
      </c>
      <c r="B47" s="13" t="inlineStr">
        <is>
          <t>View Patient Detail (Admin)</t>
        </is>
      </c>
      <c r="C47" s="13" t="inlineStr">
        <is>
          <t>Patient Profile</t>
        </is>
      </c>
      <c r="D47" s="13" t="inlineStr">
        <is>
          <t>Demographics, registration date, linked account. Edit action available.</t>
        </is>
      </c>
      <c r="E47" s="13" t="inlineStr">
        <is>
          <t>KhoaNNCE181612</t>
        </is>
      </c>
      <c r="F47" s="14" t="inlineStr">
        <is>
          <t>To Do</t>
        </is>
      </c>
      <c r="G47" s="13" t="n"/>
      <c r="H47" s="13" t="n"/>
      <c r="I47" s="13" t="n"/>
      <c r="J47" s="15">
        <f>IF(L47="Simple",60,IF(L47="Medium",120,240))*IF(M47="Low",50%,IF(M47="Medium",75%,100%))</f>
        <v/>
      </c>
      <c r="K47" s="13" t="n"/>
      <c r="L47" s="13" t="inlineStr">
        <is>
          <t>Simple</t>
        </is>
      </c>
      <c r="M47" s="13" t="inlineStr">
        <is>
          <t>High</t>
        </is>
      </c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2.75" customHeight="1" s="27">
      <c r="A48" s="9">
        <f>ROW()-4</f>
        <v/>
      </c>
      <c r="B48" s="13" t="inlineStr">
        <is>
          <t>Create Patient (Admin)</t>
        </is>
      </c>
      <c r="C48" s="13" t="inlineStr">
        <is>
          <t>Patient Profile</t>
        </is>
      </c>
      <c r="D48" s="13" t="inlineStr">
        <is>
          <t>Full demographic form; optional link to new account. Required fields enforced. Persist patient; optional user creation. Appears in patient list immediately.</t>
        </is>
      </c>
      <c r="E48" s="13" t="inlineStr">
        <is>
          <t>ThangNDCE180608</t>
        </is>
      </c>
      <c r="F48" s="14" t="inlineStr">
        <is>
          <t>To Do</t>
        </is>
      </c>
      <c r="G48" s="13" t="n"/>
      <c r="H48" s="13" t="n"/>
      <c r="I48" s="13" t="n"/>
      <c r="J48" s="15">
        <f>IF(L48="Simple",60,IF(L48="Medium",120,240))*IF(M48="Low",50%,IF(M48="Medium",75%,100%))</f>
        <v/>
      </c>
      <c r="K48" s="13" t="n"/>
      <c r="L48" s="13" t="inlineStr">
        <is>
          <t>Simple</t>
        </is>
      </c>
      <c r="M48" s="13" t="inlineStr">
        <is>
          <t>High</t>
        </is>
      </c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2.75" customHeight="1" s="27">
      <c r="A49" s="9">
        <f>ROW()-4</f>
        <v/>
      </c>
      <c r="B49" s="13" t="inlineStr">
        <is>
          <t>Update Patient Profile (Admin)</t>
        </is>
      </c>
      <c r="C49" s="13" t="inlineStr">
        <is>
          <t>Patient Profile</t>
        </is>
      </c>
      <c r="D49" s="13" t="inlineStr">
        <is>
          <t>Edit form save with audit optional. Changes visible on patient detail.</t>
        </is>
      </c>
      <c r="E49" s="13" t="inlineStr">
        <is>
          <t>ThangDQCE182036</t>
        </is>
      </c>
      <c r="F49" s="14" t="inlineStr">
        <is>
          <t>To Do</t>
        </is>
      </c>
      <c r="G49" s="13" t="n"/>
      <c r="H49" s="13" t="n"/>
      <c r="I49" s="13" t="n"/>
      <c r="J49" s="15">
        <f>IF(L49="Simple",60,IF(L49="Medium",120,240))*IF(M49="Low",50%,IF(M49="Medium",75%,100%))</f>
        <v/>
      </c>
      <c r="K49" s="13" t="n"/>
      <c r="L49" s="13" t="inlineStr">
        <is>
          <t>Simple</t>
        </is>
      </c>
      <c r="M49" s="13" t="inlineStr">
        <is>
          <t>High</t>
        </is>
      </c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2.75" customHeight="1" s="27">
      <c r="A50" s="9">
        <f>ROW()-4</f>
        <v/>
      </c>
      <c r="B50" s="13" t="inlineStr">
        <is>
          <t>Deactivate Patient</t>
        </is>
      </c>
      <c r="C50" s="13" t="inlineStr">
        <is>
          <t>Patient Profile</t>
        </is>
      </c>
      <c r="D50" s="13" t="inlineStr">
        <is>
          <t>Soft-delete with confirm. Cannot book when inactive.</t>
        </is>
      </c>
      <c r="E50" s="13" t="inlineStr">
        <is>
          <t>TanhNTCE182341</t>
        </is>
      </c>
      <c r="F50" s="14" t="inlineStr">
        <is>
          <t>To Do</t>
        </is>
      </c>
      <c r="G50" s="13" t="n"/>
      <c r="H50" s="13" t="n"/>
      <c r="I50" s="13" t="n"/>
      <c r="J50" s="15">
        <f>IF(L50="Simple",60,IF(L50="Medium",120,240))*IF(M50="Low",50%,IF(M50="Medium",75%,100%))</f>
        <v/>
      </c>
      <c r="K50" s="13" t="n"/>
      <c r="L50" s="13" t="inlineStr">
        <is>
          <t>Simple</t>
        </is>
      </c>
      <c r="M50" s="13" t="inlineStr">
        <is>
          <t>High</t>
        </is>
      </c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2.75" customHeight="1" s="27">
      <c r="A51" s="9">
        <f>ROW()-4</f>
        <v/>
      </c>
      <c r="B51" s="13" t="inlineStr">
        <is>
          <t>Patient Dashboard</t>
        </is>
      </c>
      <c r="C51" s="13" t="inlineStr">
        <is>
          <t>Shared UI</t>
        </is>
      </c>
      <c r="D51" s="13" t="inlineStr">
        <is>
          <t>Shortcuts: book, appointments, wallet, profile. Only patient menu items visible.</t>
        </is>
      </c>
      <c r="E51" s="13" t="inlineStr">
        <is>
          <t>ThangDQCE182036</t>
        </is>
      </c>
      <c r="F51" s="14" t="inlineStr">
        <is>
          <t>To Do</t>
        </is>
      </c>
      <c r="G51" s="13" t="n"/>
      <c r="H51" s="13" t="n"/>
      <c r="I51" s="13" t="n"/>
      <c r="J51" s="15">
        <f>IF(L51="Simple",60,IF(L51="Medium",120,240))*IF(M51="Low",50%,IF(M51="Medium",75%,100%))</f>
        <v/>
      </c>
      <c r="K51" s="13" t="n"/>
      <c r="L51" s="13" t="inlineStr">
        <is>
          <t>Simple</t>
        </is>
      </c>
      <c r="M51" s="13" t="inlineStr">
        <is>
          <t>High</t>
        </is>
      </c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2.75" customHeight="1" s="27">
      <c r="A52" s="9">
        <f>ROW()-4</f>
        <v/>
      </c>
      <c r="B52" s="13" t="inlineStr">
        <is>
          <t>Admin Dashboard</t>
        </is>
      </c>
      <c r="C52" s="13" t="inlineStr">
        <is>
          <t>Shared UI</t>
        </is>
      </c>
      <c r="D52" s="13" t="inlineStr">
        <is>
          <t>Cards: users, doctors, appointments today. Admin-only routes enforced.</t>
        </is>
      </c>
      <c r="E52" s="13" t="inlineStr">
        <is>
          <t>TanhNTCE182341</t>
        </is>
      </c>
      <c r="F52" s="14" t="inlineStr">
        <is>
          <t>To Do</t>
        </is>
      </c>
      <c r="G52" s="13" t="n"/>
      <c r="H52" s="13" t="n"/>
      <c r="I52" s="13" t="n"/>
      <c r="J52" s="15">
        <f>IF(L52="Simple",60,IF(L52="Medium",120,240))*IF(M52="Low",50%,IF(M52="Medium",75%,100%))</f>
        <v/>
      </c>
      <c r="K52" s="13" t="n"/>
      <c r="L52" s="13" t="inlineStr">
        <is>
          <t>Simple</t>
        </is>
      </c>
      <c r="M52" s="13" t="inlineStr">
        <is>
          <t>High</t>
        </is>
      </c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2.75" customHeight="1" s="27">
      <c r="A53" s="25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2.75" customHeight="1" s="27">
      <c r="A54" s="25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2.75" customHeight="1" s="27">
      <c r="A55" s="25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2.75" customHeight="1" s="27">
      <c r="A56" s="25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2.75" customHeight="1" s="27">
      <c r="A57" s="25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2.75" customHeight="1" s="27">
      <c r="A58" s="25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2.75" customHeight="1" s="27">
      <c r="A59" s="25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2.75" customHeight="1" s="27">
      <c r="A60" s="25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2.75" customHeight="1" s="27">
      <c r="A61" s="25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2.75" customHeight="1" s="27">
      <c r="A62" s="25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2.75" customHeight="1" s="27">
      <c r="A63" s="25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2.75" customHeight="1" s="27">
      <c r="A64" s="25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2.75" customHeight="1" s="27">
      <c r="A65" s="25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2.75" customHeight="1" s="27">
      <c r="A66" s="25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2.75" customHeight="1" s="27">
      <c r="A67" s="25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2.75" customHeight="1" s="27">
      <c r="A68" s="25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2.75" customHeight="1" s="27">
      <c r="A69" s="25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2.75" customHeight="1" s="27">
      <c r="A70" s="25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2.75" customHeight="1" s="27">
      <c r="A71" s="25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2.75" customHeight="1" s="27">
      <c r="A72" s="25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2.75" customHeight="1" s="27">
      <c r="A73" s="25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2.75" customHeight="1" s="27">
      <c r="A74" s="25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2.75" customHeight="1" s="27">
      <c r="A75" s="25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2.75" customHeight="1" s="27">
      <c r="A76" s="25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2.75" customHeight="1" s="27">
      <c r="A77" s="25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2.75" customHeight="1" s="27">
      <c r="A78" s="25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2.75" customHeight="1" s="27">
      <c r="A79" s="25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2.75" customHeight="1" s="27">
      <c r="A80" s="25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2.75" customHeight="1" s="27">
      <c r="A81" s="25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2.75" customHeight="1" s="27">
      <c r="A82" s="25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2.75" customHeight="1" s="27">
      <c r="A83" s="25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2.75" customHeight="1" s="27">
      <c r="A84" s="25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2.75" customHeight="1" s="27">
      <c r="A85" s="25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2.75" customHeight="1" s="27">
      <c r="A86" s="25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2.75" customHeight="1" s="27">
      <c r="A87" s="25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2.75" customHeight="1" s="27">
      <c r="A88" s="25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2.75" customHeight="1" s="27">
      <c r="A89" s="25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2.75" customHeight="1" s="27">
      <c r="A90" s="25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2.75" customHeight="1" s="27">
      <c r="A91" s="25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2.75" customHeight="1" s="27">
      <c r="A92" s="25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2.75" customHeight="1" s="27">
      <c r="A93" s="25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2.75" customHeight="1" s="27">
      <c r="A94" s="25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2.75" customHeight="1" s="27">
      <c r="A95" s="25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2.75" customHeight="1" s="27">
      <c r="A96" s="25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2.75" customHeight="1" s="27">
      <c r="A97" s="25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2.75" customHeight="1" s="27">
      <c r="A98" s="25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2.75" customHeight="1" s="27">
      <c r="A99" s="25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2.75" customHeight="1" s="27">
      <c r="A100" s="25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2.75" customHeight="1" s="27">
      <c r="A101" s="25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2.75" customHeight="1" s="27">
      <c r="A102" s="25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2.75" customHeight="1" s="27">
      <c r="A103" s="25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2.75" customHeight="1" s="27">
      <c r="A104" s="25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2.75" customHeight="1" s="27">
      <c r="A105" s="25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2.75" customHeight="1" s="27">
      <c r="A106" s="25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2.75" customHeight="1" s="27">
      <c r="A107" s="25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2.75" customHeight="1" s="27">
      <c r="A108" s="25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2.75" customHeight="1" s="27">
      <c r="A109" s="25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2.75" customHeight="1" s="27">
      <c r="A110" s="25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2.75" customHeight="1" s="27">
      <c r="A111" s="25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2.75" customHeight="1" s="27">
      <c r="A112" s="25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2.75" customHeight="1" s="27">
      <c r="A113" s="25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2.75" customHeight="1" s="27">
      <c r="A114" s="25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2.75" customHeight="1" s="27">
      <c r="A115" s="25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2.75" customHeight="1" s="27">
      <c r="A116" s="25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2.75" customHeight="1" s="27">
      <c r="A117" s="25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2.75" customHeight="1" s="27">
      <c r="A118" s="25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2.75" customHeight="1" s="27">
      <c r="A119" s="25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2.75" customHeight="1" s="27">
      <c r="A120" s="25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2.75" customHeight="1" s="27">
      <c r="A121" s="25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2.75" customHeight="1" s="27">
      <c r="A122" s="25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2.75" customHeight="1" s="27">
      <c r="A123" s="25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2.75" customHeight="1" s="27">
      <c r="A124" s="25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2.75" customHeight="1" s="27">
      <c r="A125" s="25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2.75" customHeight="1" s="27">
      <c r="A126" s="25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2.75" customHeight="1" s="27">
      <c r="A127" s="25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2.75" customHeight="1" s="27">
      <c r="A128" s="25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2.75" customHeight="1" s="27">
      <c r="A129" s="25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2.75" customHeight="1" s="27">
      <c r="A130" s="25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2.75" customHeight="1" s="27">
      <c r="A131" s="25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2.75" customHeight="1" s="27">
      <c r="A132" s="25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2.75" customHeight="1" s="27">
      <c r="A133" s="25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2.75" customHeight="1" s="27">
      <c r="A134" s="25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2.75" customHeight="1" s="27">
      <c r="A135" s="25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2.75" customHeight="1" s="27">
      <c r="A136" s="25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2.75" customHeight="1" s="27">
      <c r="A137" s="25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2.75" customHeight="1" s="27">
      <c r="A138" s="25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2.75" customHeight="1" s="27">
      <c r="A139" s="25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2.75" customHeight="1" s="27">
      <c r="A140" s="25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2.75" customHeight="1" s="27">
      <c r="A141" s="25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2.75" customHeight="1" s="27">
      <c r="A142" s="25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2.75" customHeight="1" s="27">
      <c r="A143" s="25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2.75" customHeight="1" s="27">
      <c r="A144" s="25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2.75" customHeight="1" s="27">
      <c r="A145" s="25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2.75" customHeight="1" s="27">
      <c r="A146" s="25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2.75" customHeight="1" s="27">
      <c r="A147" s="25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2.75" customHeight="1" s="27">
      <c r="A148" s="25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2.75" customHeight="1" s="27">
      <c r="A149" s="25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2.75" customHeight="1" s="27">
      <c r="A150" s="25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2.75" customHeight="1" s="27">
      <c r="A151" s="25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2.75" customHeight="1" s="27">
      <c r="A152" s="25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2.75" customHeight="1" s="27">
      <c r="A153" s="25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2.75" customHeight="1" s="27">
      <c r="A154" s="25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2.75" customHeight="1" s="27">
      <c r="A155" s="25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2.75" customHeight="1" s="27">
      <c r="A156" s="25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2.75" customHeight="1" s="27">
      <c r="A157" s="25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2.75" customHeight="1" s="27">
      <c r="A158" s="25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2.75" customHeight="1" s="27">
      <c r="A159" s="25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2.75" customHeight="1" s="27">
      <c r="A160" s="25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2.75" customHeight="1" s="27">
      <c r="A161" s="25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2.75" customHeight="1" s="27">
      <c r="A162" s="25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2.75" customHeight="1" s="27">
      <c r="A163" s="25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2.75" customHeight="1" s="27">
      <c r="A164" s="25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2.75" customHeight="1" s="27">
      <c r="A165" s="25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2.75" customHeight="1" s="27">
      <c r="A166" s="25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2.75" customHeight="1" s="27">
      <c r="A167" s="25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2.75" customHeight="1" s="27">
      <c r="A168" s="25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2.75" customHeight="1" s="27">
      <c r="A169" s="25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2.75" customHeight="1" s="27">
      <c r="A170" s="25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2.75" customHeight="1" s="27">
      <c r="A171" s="25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2.75" customHeight="1" s="27">
      <c r="A172" s="25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2.75" customHeight="1" s="27">
      <c r="A173" s="25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2.75" customHeight="1" s="27">
      <c r="A174" s="25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2.75" customHeight="1" s="27">
      <c r="A175" s="25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2.75" customHeight="1" s="27">
      <c r="A176" s="25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2.75" customHeight="1" s="27">
      <c r="A177" s="25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2.75" customHeight="1" s="27">
      <c r="A178" s="25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2.75" customHeight="1" s="27">
      <c r="A179" s="25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2.75" customHeight="1" s="27">
      <c r="A180" s="25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2.75" customHeight="1" s="27">
      <c r="A181" s="25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2.75" customHeight="1" s="27">
      <c r="A182" s="25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2.75" customHeight="1" s="27">
      <c r="A183" s="25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2.75" customHeight="1" s="27">
      <c r="A184" s="25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2.75" customHeight="1" s="27">
      <c r="A185" s="25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2.75" customHeight="1" s="27">
      <c r="A186" s="25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2.75" customHeight="1" s="27">
      <c r="A187" s="25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2.75" customHeight="1" s="27">
      <c r="A188" s="25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2.75" customHeight="1" s="27">
      <c r="A189" s="25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2.75" customHeight="1" s="27">
      <c r="A190" s="25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2.75" customHeight="1" s="27">
      <c r="A191" s="25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2.75" customHeight="1" s="27">
      <c r="A192" s="25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2.75" customHeight="1" s="27">
      <c r="A193" s="25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2.75" customHeight="1" s="27">
      <c r="A194" s="25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2.75" customHeight="1" s="27">
      <c r="A195" s="25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2.75" customHeight="1" s="27">
      <c r="A196" s="25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2.75" customHeight="1" s="27">
      <c r="A197" s="25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2.75" customHeight="1" s="27">
      <c r="A198" s="25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2.75" customHeight="1" s="27">
      <c r="A199" s="25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2.75" customHeight="1" s="27">
      <c r="A200" s="25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2.75" customHeight="1" s="27">
      <c r="A201" s="25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2.75" customHeight="1" s="27">
      <c r="A202" s="25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2.75" customHeight="1" s="27">
      <c r="A203" s="25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2.75" customHeight="1" s="27">
      <c r="A204" s="25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2.75" customHeight="1" s="27">
      <c r="A205" s="25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2.75" customHeight="1" s="27">
      <c r="A206" s="25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2.75" customHeight="1" s="27">
      <c r="A207" s="25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2.75" customHeight="1" s="27">
      <c r="A208" s="25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2.75" customHeight="1" s="27">
      <c r="A209" s="25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2.75" customHeight="1" s="27">
      <c r="A210" s="25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2.75" customHeight="1" s="27">
      <c r="A211" s="25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2.75" customHeight="1" s="27">
      <c r="A212" s="25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2.75" customHeight="1" s="27">
      <c r="A213" s="25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2.75" customHeight="1" s="27">
      <c r="A214" s="25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2.75" customHeight="1" s="27">
      <c r="A215" s="25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2.75" customHeight="1" s="27">
      <c r="A216" s="25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2.75" customHeight="1" s="27">
      <c r="A217" s="25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2.75" customHeight="1" s="27">
      <c r="A218" s="25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2.75" customHeight="1" s="27">
      <c r="A219" s="25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2.75" customHeight="1" s="27">
      <c r="A220" s="25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2.75" customHeight="1" s="27">
      <c r="A221" s="25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2.75" customHeight="1" s="27">
      <c r="A222" s="25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2.75" customHeight="1" s="27">
      <c r="A223" s="25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2.75" customHeight="1" s="27">
      <c r="A224" s="25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2.75" customHeight="1" s="27">
      <c r="A225" s="25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2.75" customHeight="1" s="27">
      <c r="A226" s="25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2.75" customHeight="1" s="27">
      <c r="A227" s="25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2.75" customHeight="1" s="27">
      <c r="A228" s="25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2.75" customHeight="1" s="27">
      <c r="A229" s="25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2.75" customHeight="1" s="27">
      <c r="A230" s="25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2.75" customHeight="1" s="27">
      <c r="A231" s="25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2.75" customHeight="1" s="27">
      <c r="A232" s="25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2.75" customHeight="1" s="27">
      <c r="A233" s="25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2.75" customHeight="1" s="27">
      <c r="A234" s="25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2.75" customHeight="1" s="27">
      <c r="A235" s="25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2.75" customHeight="1" s="27">
      <c r="A236" s="25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2.75" customHeight="1" s="27">
      <c r="A237" s="25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2.75" customHeight="1" s="27">
      <c r="A238" s="25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2.75" customHeight="1" s="27">
      <c r="A239" s="25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2.75" customHeight="1" s="27">
      <c r="A240" s="25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2.75" customHeight="1" s="27">
      <c r="A241" s="25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2.75" customHeight="1" s="27">
      <c r="A242" s="25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2.75" customHeight="1" s="27">
      <c r="A243" s="25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2.75" customHeight="1" s="27">
      <c r="A244" s="25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2.75" customHeight="1" s="27">
      <c r="A245" s="25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2.75" customHeight="1" s="27">
      <c r="A246" s="25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2.75" customHeight="1" s="27">
      <c r="A247" s="25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2.75" customHeight="1" s="27">
      <c r="A248" s="25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2.75" customHeight="1" s="27">
      <c r="A249" s="25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2.75" customHeight="1" s="27">
      <c r="A250" s="25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2.75" customHeight="1" s="27">
      <c r="A251" s="25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2.75" customHeight="1" s="27">
      <c r="A252" s="25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2.75" customHeight="1" s="27">
      <c r="A253" s="25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2.75" customHeight="1" s="27">
      <c r="A254" s="25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2.75" customHeight="1" s="27">
      <c r="A255" s="25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2.75" customHeight="1" s="27">
      <c r="A256" s="25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2.75" customHeight="1" s="27">
      <c r="A257" s="25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2.75" customHeight="1" s="27">
      <c r="A258" s="25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2.75" customHeight="1" s="27">
      <c r="A259" s="25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2.75" customHeight="1" s="27">
      <c r="A260" s="25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2.75" customHeight="1" s="27">
      <c r="A261" s="25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2.75" customHeight="1" s="27">
      <c r="A262" s="25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2.75" customHeight="1" s="27">
      <c r="A263" s="25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2.75" customHeight="1" s="27">
      <c r="A264" s="25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2.75" customHeight="1" s="27">
      <c r="A265" s="25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2.75" customHeight="1" s="27">
      <c r="A266" s="25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2.75" customHeight="1" s="27">
      <c r="A267" s="25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2.75" customHeight="1" s="27">
      <c r="A268" s="25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2.75" customHeight="1" s="27">
      <c r="A269" s="25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2.75" customHeight="1" s="27">
      <c r="A270" s="25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2.75" customHeight="1" s="27">
      <c r="A271" s="25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2.75" customHeight="1" s="27">
      <c r="A272" s="25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2.75" customHeight="1" s="27">
      <c r="A273" s="25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2.75" customHeight="1" s="27">
      <c r="A274" s="25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2.75" customHeight="1" s="27">
      <c r="A275" s="25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2.75" customHeight="1" s="27">
      <c r="A276" s="25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2.75" customHeight="1" s="27">
      <c r="A277" s="25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2.75" customHeight="1" s="27">
      <c r="A278" s="25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2.75" customHeight="1" s="27">
      <c r="A279" s="25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2.75" customHeight="1" s="27">
      <c r="A280" s="25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2.75" customHeight="1" s="27">
      <c r="A281" s="25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2.75" customHeight="1" s="27">
      <c r="A282" s="25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2.75" customHeight="1" s="27">
      <c r="A283" s="25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2.75" customHeight="1" s="27">
      <c r="A284" s="25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2.75" customHeight="1" s="27">
      <c r="A285" s="25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2.75" customHeight="1" s="27">
      <c r="A286" s="25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2.75" customHeight="1" s="27">
      <c r="A287" s="25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2.75" customHeight="1" s="27">
      <c r="A288" s="25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2.75" customHeight="1" s="27">
      <c r="A289" s="25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2.75" customHeight="1" s="27">
      <c r="A290" s="25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2.75" customHeight="1" s="27">
      <c r="A291" s="25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2.75" customHeight="1" s="27">
      <c r="A292" s="25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2.75" customHeight="1" s="27">
      <c r="A293" s="25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2.75" customHeight="1" s="27">
      <c r="A294" s="25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2.75" customHeight="1" s="27">
      <c r="A295" s="25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2.75" customHeight="1" s="27">
      <c r="A296" s="25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2.75" customHeight="1" s="27">
      <c r="A297" s="25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2.75" customHeight="1" s="27">
      <c r="A298" s="25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2.75" customHeight="1" s="27">
      <c r="A299" s="25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2.75" customHeight="1" s="27">
      <c r="A300" s="25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2.75" customHeight="1" s="27">
      <c r="A301" s="25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2.75" customHeight="1" s="27">
      <c r="A302" s="25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2.75" customHeight="1" s="27">
      <c r="A303" s="25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2.75" customHeight="1" s="27">
      <c r="A304" s="25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2.75" customHeight="1" s="27">
      <c r="A305" s="25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2.75" customHeight="1" s="27">
      <c r="A306" s="25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2.75" customHeight="1" s="27">
      <c r="A307" s="25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2.75" customHeight="1" s="27">
      <c r="A308" s="25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2.75" customHeight="1" s="27">
      <c r="A309" s="25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2.75" customHeight="1" s="27">
      <c r="A310" s="25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2.75" customHeight="1" s="27">
      <c r="A311" s="25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2.75" customHeight="1" s="27">
      <c r="A312" s="25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2.75" customHeight="1" s="27">
      <c r="A313" s="25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2.75" customHeight="1" s="27">
      <c r="A314" s="25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2.75" customHeight="1" s="27">
      <c r="A315" s="25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2.75" customHeight="1" s="27">
      <c r="A316" s="25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2.75" customHeight="1" s="27">
      <c r="A317" s="25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2.75" customHeight="1" s="27">
      <c r="A318" s="25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2.75" customHeight="1" s="27">
      <c r="A319" s="25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2.75" customHeight="1" s="27">
      <c r="A320" s="25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2.75" customHeight="1" s="27">
      <c r="A321" s="25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2.75" customHeight="1" s="27">
      <c r="A322" s="25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2.75" customHeight="1" s="27">
      <c r="A323" s="25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2.75" customHeight="1" s="27">
      <c r="A324" s="25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2.75" customHeight="1" s="27">
      <c r="A325" s="25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2.75" customHeight="1" s="27">
      <c r="A326" s="25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2.75" customHeight="1" s="27">
      <c r="A327" s="25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2.75" customHeight="1" s="27">
      <c r="A328" s="25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2.75" customHeight="1" s="27">
      <c r="A329" s="25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2.75" customHeight="1" s="27">
      <c r="A330" s="25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2.75" customHeight="1" s="27">
      <c r="A331" s="25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2.75" customHeight="1" s="27">
      <c r="A332" s="25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2.75" customHeight="1" s="27">
      <c r="A333" s="25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2.75" customHeight="1" s="27">
      <c r="A334" s="25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2.75" customHeight="1" s="27">
      <c r="A335" s="25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2.75" customHeight="1" s="27">
      <c r="A336" s="25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2.75" customHeight="1" s="27">
      <c r="A337" s="25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2.75" customHeight="1" s="27">
      <c r="A338" s="25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2.75" customHeight="1" s="27">
      <c r="A339" s="25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2.75" customHeight="1" s="27">
      <c r="A340" s="25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2.75" customHeight="1" s="27">
      <c r="A341" s="25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2.75" customHeight="1" s="27">
      <c r="A342" s="25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2.75" customHeight="1" s="27">
      <c r="A343" s="25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2.75" customHeight="1" s="27">
      <c r="A344" s="25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2.75" customHeight="1" s="27">
      <c r="A345" s="25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2.75" customHeight="1" s="27">
      <c r="A346" s="25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2.75" customHeight="1" s="27">
      <c r="A347" s="25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2.75" customHeight="1" s="27">
      <c r="A348" s="25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2.75" customHeight="1" s="27">
      <c r="A349" s="25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2.75" customHeight="1" s="27">
      <c r="A350" s="25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2.75" customHeight="1" s="27">
      <c r="A351" s="25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2.75" customHeight="1" s="27">
      <c r="A352" s="25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2.75" customHeight="1" s="27">
      <c r="A353" s="25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2.75" customHeight="1" s="27">
      <c r="A354" s="25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2.75" customHeight="1" s="27">
      <c r="A355" s="25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2.75" customHeight="1" s="27">
      <c r="A356" s="25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2.75" customHeight="1" s="27">
      <c r="A357" s="25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2.75" customHeight="1" s="27">
      <c r="A358" s="25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2.75" customHeight="1" s="27">
      <c r="A359" s="25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2.75" customHeight="1" s="27">
      <c r="A360" s="25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2.75" customHeight="1" s="27">
      <c r="A361" s="25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2.75" customHeight="1" s="27">
      <c r="A362" s="25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2.75" customHeight="1" s="27">
      <c r="A363" s="25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2.75" customHeight="1" s="27">
      <c r="A364" s="25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2.75" customHeight="1" s="27">
      <c r="A365" s="25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2.75" customHeight="1" s="27">
      <c r="A366" s="25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2.75" customHeight="1" s="27">
      <c r="A367" s="25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2.75" customHeight="1" s="27">
      <c r="A368" s="25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2.75" customHeight="1" s="27">
      <c r="A369" s="25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2.75" customHeight="1" s="27">
      <c r="A370" s="25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2.75" customHeight="1" s="27">
      <c r="A371" s="25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2.75" customHeight="1" s="27">
      <c r="A372" s="25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2.75" customHeight="1" s="27">
      <c r="A373" s="25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2.75" customHeight="1" s="27">
      <c r="A374" s="25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2.75" customHeight="1" s="27">
      <c r="A375" s="25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2.75" customHeight="1" s="27">
      <c r="A376" s="25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2.75" customHeight="1" s="27">
      <c r="A377" s="25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2.75" customHeight="1" s="27">
      <c r="A378" s="25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2.75" customHeight="1" s="27">
      <c r="A379" s="25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2.75" customHeight="1" s="27">
      <c r="A380" s="25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2.75" customHeight="1" s="27">
      <c r="A381" s="25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2.75" customHeight="1" s="27">
      <c r="A382" s="25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2.75" customHeight="1" s="27">
      <c r="A383" s="25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2.75" customHeight="1" s="27">
      <c r="A384" s="25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2.75" customHeight="1" s="27">
      <c r="A385" s="25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2.75" customHeight="1" s="27">
      <c r="A386" s="25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2.75" customHeight="1" s="27">
      <c r="A387" s="25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2.75" customHeight="1" s="27">
      <c r="A388" s="25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2.75" customHeight="1" s="27">
      <c r="A389" s="25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2.75" customHeight="1" s="27">
      <c r="A390" s="25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2.75" customHeight="1" s="27">
      <c r="A391" s="25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2.75" customHeight="1" s="27">
      <c r="A392" s="25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2.75" customHeight="1" s="27">
      <c r="A393" s="25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2.75" customHeight="1" s="27">
      <c r="A394" s="25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2.75" customHeight="1" s="27">
      <c r="A395" s="25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2.75" customHeight="1" s="27">
      <c r="A396" s="25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2.75" customHeight="1" s="27">
      <c r="A397" s="25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2.75" customHeight="1" s="27">
      <c r="A398" s="25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2.75" customHeight="1" s="27">
      <c r="A399" s="25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2.75" customHeight="1" s="27">
      <c r="A400" s="25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2.75" customHeight="1" s="27">
      <c r="A401" s="25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2.75" customHeight="1" s="27">
      <c r="A402" s="25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2.75" customHeight="1" s="27">
      <c r="A403" s="25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2.75" customHeight="1" s="27">
      <c r="A404" s="25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2.75" customHeight="1" s="27">
      <c r="A405" s="25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2.75" customHeight="1" s="27">
      <c r="A406" s="25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2.75" customHeight="1" s="27">
      <c r="A407" s="25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2.75" customHeight="1" s="27">
      <c r="A408" s="25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2.75" customHeight="1" s="27">
      <c r="A409" s="25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2.75" customHeight="1" s="27">
      <c r="A410" s="25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2.75" customHeight="1" s="27">
      <c r="A411" s="25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2.75" customHeight="1" s="27">
      <c r="A412" s="25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2.75" customHeight="1" s="27">
      <c r="A413" s="25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2.75" customHeight="1" s="27">
      <c r="A414" s="25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2.75" customHeight="1" s="27">
      <c r="A415" s="25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2.75" customHeight="1" s="27">
      <c r="A416" s="25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2.75" customHeight="1" s="27">
      <c r="A417" s="25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2.75" customHeight="1" s="27">
      <c r="A418" s="25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2.75" customHeight="1" s="27">
      <c r="A419" s="25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2.75" customHeight="1" s="27">
      <c r="A420" s="25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2.75" customHeight="1" s="27">
      <c r="A421" s="25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2.75" customHeight="1" s="27">
      <c r="A422" s="25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2.75" customHeight="1" s="27">
      <c r="A423" s="25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2.75" customHeight="1" s="27">
      <c r="A424" s="25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2.75" customHeight="1" s="27">
      <c r="A425" s="25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2.75" customHeight="1" s="27">
      <c r="A426" s="25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2.75" customHeight="1" s="27">
      <c r="A427" s="25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2.75" customHeight="1" s="27">
      <c r="A428" s="25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2.75" customHeight="1" s="27">
      <c r="A429" s="25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2.75" customHeight="1" s="27">
      <c r="A430" s="25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2.75" customHeight="1" s="27">
      <c r="A431" s="25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2.75" customHeight="1" s="27">
      <c r="A432" s="25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2.75" customHeight="1" s="27">
      <c r="A433" s="25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2.75" customHeight="1" s="27">
      <c r="A434" s="25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2.75" customHeight="1" s="27">
      <c r="A435" s="25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2.75" customHeight="1" s="27">
      <c r="A436" s="25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2.75" customHeight="1" s="27">
      <c r="A437" s="25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2.75" customHeight="1" s="27">
      <c r="A438" s="25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2.75" customHeight="1" s="27">
      <c r="A439" s="25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2.75" customHeight="1" s="27">
      <c r="A440" s="25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2.75" customHeight="1" s="27">
      <c r="A441" s="25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2.75" customHeight="1" s="27">
      <c r="A442" s="25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2.75" customHeight="1" s="27">
      <c r="A443" s="25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2.75" customHeight="1" s="27">
      <c r="A444" s="25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2.75" customHeight="1" s="27">
      <c r="A445" s="25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2.75" customHeight="1" s="27">
      <c r="A446" s="25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2.75" customHeight="1" s="27">
      <c r="A447" s="25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2.75" customHeight="1" s="27">
      <c r="A448" s="25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2.75" customHeight="1" s="27">
      <c r="A449" s="25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2.75" customHeight="1" s="27">
      <c r="A450" s="25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2.75" customHeight="1" s="27">
      <c r="A451" s="25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2.75" customHeight="1" s="27">
      <c r="A452" s="25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2.75" customHeight="1" s="27">
      <c r="A453" s="25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2.75" customHeight="1" s="27">
      <c r="A454" s="25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2.75" customHeight="1" s="27">
      <c r="A455" s="25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2.75" customHeight="1" s="27">
      <c r="A456" s="25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2.75" customHeight="1" s="27">
      <c r="A457" s="25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2.75" customHeight="1" s="27">
      <c r="A458" s="25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2.75" customHeight="1" s="27">
      <c r="A459" s="25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2.75" customHeight="1" s="27">
      <c r="A460" s="25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2.75" customHeight="1" s="27">
      <c r="A461" s="25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2.75" customHeight="1" s="27">
      <c r="A462" s="25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2.75" customHeight="1" s="27">
      <c r="A463" s="25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2.75" customHeight="1" s="27">
      <c r="A464" s="25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2.75" customHeight="1" s="27">
      <c r="A465" s="25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2.75" customHeight="1" s="27">
      <c r="A466" s="25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2.75" customHeight="1" s="27">
      <c r="A467" s="25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2.75" customHeight="1" s="27">
      <c r="A468" s="25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2.75" customHeight="1" s="27">
      <c r="A469" s="25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2.75" customHeight="1" s="27">
      <c r="A470" s="25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2.75" customHeight="1" s="27">
      <c r="A471" s="25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2.75" customHeight="1" s="27">
      <c r="A472" s="25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2.75" customHeight="1" s="27">
      <c r="A473" s="25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2.75" customHeight="1" s="27">
      <c r="A474" s="25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2.75" customHeight="1" s="27">
      <c r="A475" s="25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2.75" customHeight="1" s="27">
      <c r="A476" s="25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2.75" customHeight="1" s="27">
      <c r="A477" s="25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2.75" customHeight="1" s="27">
      <c r="A478" s="25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2.75" customHeight="1" s="27">
      <c r="A479" s="25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2.75" customHeight="1" s="27">
      <c r="A480" s="25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2.75" customHeight="1" s="27">
      <c r="A481" s="25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2.75" customHeight="1" s="27">
      <c r="A482" s="25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2.75" customHeight="1" s="27">
      <c r="A483" s="25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2.75" customHeight="1" s="27">
      <c r="A484" s="25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2.75" customHeight="1" s="27">
      <c r="A485" s="25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2.75" customHeight="1" s="27">
      <c r="A486" s="25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2.75" customHeight="1" s="27">
      <c r="A487" s="25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2.75" customHeight="1" s="27">
      <c r="A488" s="25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2.75" customHeight="1" s="27">
      <c r="A489" s="25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2.75" customHeight="1" s="27">
      <c r="A490" s="25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2.75" customHeight="1" s="27">
      <c r="A491" s="25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2.75" customHeight="1" s="27">
      <c r="A492" s="25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2.75" customHeight="1" s="27">
      <c r="A493" s="25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2.75" customHeight="1" s="27">
      <c r="A494" s="25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2.75" customHeight="1" s="27">
      <c r="A495" s="25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2.75" customHeight="1" s="27">
      <c r="A496" s="25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2.75" customHeight="1" s="27">
      <c r="A497" s="25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2.75" customHeight="1" s="27">
      <c r="A498" s="25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2.75" customHeight="1" s="27">
      <c r="A499" s="25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2.75" customHeight="1" s="27">
      <c r="A500" s="25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2.75" customHeight="1" s="27">
      <c r="A501" s="25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2.75" customHeight="1" s="27">
      <c r="A502" s="25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2.75" customHeight="1" s="27">
      <c r="A503" s="25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2.75" customHeight="1" s="27">
      <c r="A504" s="25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2.75" customHeight="1" s="27">
      <c r="A505" s="25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2.75" customHeight="1" s="27">
      <c r="A506" s="25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2.75" customHeight="1" s="27">
      <c r="A507" s="25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2.75" customHeight="1" s="27">
      <c r="A508" s="25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2.75" customHeight="1" s="27">
      <c r="A509" s="25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2.75" customHeight="1" s="27">
      <c r="A510" s="25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2.75" customHeight="1" s="27">
      <c r="A511" s="25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2.75" customHeight="1" s="27">
      <c r="A512" s="25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2.75" customHeight="1" s="27">
      <c r="A513" s="25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2.75" customHeight="1" s="27">
      <c r="A514" s="25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2.75" customHeight="1" s="27">
      <c r="A515" s="25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2.75" customHeight="1" s="27">
      <c r="A516" s="25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2.75" customHeight="1" s="27">
      <c r="A517" s="25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2.75" customHeight="1" s="27">
      <c r="A518" s="25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2.75" customHeight="1" s="27">
      <c r="A519" s="25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2.75" customHeight="1" s="27">
      <c r="A520" s="25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2.75" customHeight="1" s="27">
      <c r="A521" s="25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2.75" customHeight="1" s="27">
      <c r="A522" s="25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2.75" customHeight="1" s="27">
      <c r="A523" s="25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2.75" customHeight="1" s="27">
      <c r="A524" s="25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2.75" customHeight="1" s="27">
      <c r="A525" s="25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2.75" customHeight="1" s="27">
      <c r="A526" s="25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2.75" customHeight="1" s="27">
      <c r="A527" s="25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2.75" customHeight="1" s="27">
      <c r="A528" s="25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2.75" customHeight="1" s="27">
      <c r="A529" s="25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2.75" customHeight="1" s="27">
      <c r="A530" s="25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2.75" customHeight="1" s="27">
      <c r="A531" s="25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2.75" customHeight="1" s="27">
      <c r="A532" s="25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2.75" customHeight="1" s="27">
      <c r="A533" s="25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2.75" customHeight="1" s="27">
      <c r="A534" s="25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2.75" customHeight="1" s="27">
      <c r="A535" s="25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2.75" customHeight="1" s="27">
      <c r="A536" s="25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2.75" customHeight="1" s="27">
      <c r="A537" s="25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2.75" customHeight="1" s="27">
      <c r="A538" s="25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2.75" customHeight="1" s="27">
      <c r="A539" s="25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2.75" customHeight="1" s="27">
      <c r="A540" s="25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2.75" customHeight="1" s="27">
      <c r="A541" s="25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2.75" customHeight="1" s="27">
      <c r="A542" s="25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2.75" customHeight="1" s="27">
      <c r="A543" s="25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2.75" customHeight="1" s="27">
      <c r="A544" s="25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2.75" customHeight="1" s="27">
      <c r="A545" s="25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2.75" customHeight="1" s="27">
      <c r="A546" s="25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2.75" customHeight="1" s="27">
      <c r="A547" s="25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2.75" customHeight="1" s="27">
      <c r="A548" s="25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2.75" customHeight="1" s="27">
      <c r="A549" s="25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2.75" customHeight="1" s="27">
      <c r="A550" s="25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2.75" customHeight="1" s="27">
      <c r="A551" s="25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2.75" customHeight="1" s="27">
      <c r="A552" s="25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2.75" customHeight="1" s="27">
      <c r="A553" s="25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2.75" customHeight="1" s="27">
      <c r="A554" s="25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2.75" customHeight="1" s="27">
      <c r="A555" s="25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2.75" customHeight="1" s="27">
      <c r="A556" s="25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2.75" customHeight="1" s="27">
      <c r="A557" s="25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2.75" customHeight="1" s="27">
      <c r="A558" s="25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2.75" customHeight="1" s="27">
      <c r="A559" s="25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2.75" customHeight="1" s="27">
      <c r="A560" s="25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2.75" customHeight="1" s="27">
      <c r="A561" s="25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2.75" customHeight="1" s="27">
      <c r="A562" s="25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2.75" customHeight="1" s="27">
      <c r="A563" s="25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2.75" customHeight="1" s="27">
      <c r="A564" s="25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2.75" customHeight="1" s="27">
      <c r="A565" s="25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2.75" customHeight="1" s="27">
      <c r="A566" s="25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2.75" customHeight="1" s="27">
      <c r="A567" s="25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2.75" customHeight="1" s="27">
      <c r="A568" s="25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2.75" customHeight="1" s="27">
      <c r="A569" s="25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2.75" customHeight="1" s="27">
      <c r="A570" s="25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2.75" customHeight="1" s="27">
      <c r="A571" s="25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2.75" customHeight="1" s="27">
      <c r="A572" s="25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2.75" customHeight="1" s="27">
      <c r="A573" s="25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2.75" customHeight="1" s="27">
      <c r="A574" s="25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2.75" customHeight="1" s="27">
      <c r="A575" s="25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2.75" customHeight="1" s="27">
      <c r="A576" s="25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2.75" customHeight="1" s="27">
      <c r="A577" s="25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2.75" customHeight="1" s="27">
      <c r="A578" s="25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2.75" customHeight="1" s="27">
      <c r="A579" s="25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2.75" customHeight="1" s="27">
      <c r="A580" s="25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2.75" customHeight="1" s="27">
      <c r="A581" s="25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2.75" customHeight="1" s="27">
      <c r="A582" s="25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2.75" customHeight="1" s="27">
      <c r="A583" s="25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2.75" customHeight="1" s="27">
      <c r="A584" s="25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2.75" customHeight="1" s="27">
      <c r="A585" s="25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2.75" customHeight="1" s="27">
      <c r="A586" s="25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2.75" customHeight="1" s="27">
      <c r="A587" s="25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2.75" customHeight="1" s="27">
      <c r="A588" s="25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2.75" customHeight="1" s="27">
      <c r="A589" s="25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2.75" customHeight="1" s="27">
      <c r="A590" s="25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2.75" customHeight="1" s="27">
      <c r="A591" s="25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2.75" customHeight="1" s="27">
      <c r="A592" s="25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2.75" customHeight="1" s="27">
      <c r="A593" s="25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2.75" customHeight="1" s="27">
      <c r="A594" s="25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2.75" customHeight="1" s="27">
      <c r="A595" s="25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2.75" customHeight="1" s="27">
      <c r="A596" s="25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2.75" customHeight="1" s="27">
      <c r="A597" s="25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2.75" customHeight="1" s="27">
      <c r="A598" s="25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2.75" customHeight="1" s="27">
      <c r="A599" s="25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2.75" customHeight="1" s="27">
      <c r="A600" s="25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2.75" customHeight="1" s="27">
      <c r="A601" s="25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2.75" customHeight="1" s="27">
      <c r="A602" s="25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2.75" customHeight="1" s="27">
      <c r="A603" s="25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2.75" customHeight="1" s="27">
      <c r="A604" s="25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2.75" customHeight="1" s="27">
      <c r="A605" s="25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2.75" customHeight="1" s="27">
      <c r="A606" s="25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2.75" customHeight="1" s="27">
      <c r="A607" s="25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2.75" customHeight="1" s="27">
      <c r="A608" s="25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2.75" customHeight="1" s="27">
      <c r="A609" s="25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2.75" customHeight="1" s="27">
      <c r="A610" s="25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2.75" customHeight="1" s="27">
      <c r="A611" s="25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2.75" customHeight="1" s="27">
      <c r="A612" s="25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2.75" customHeight="1" s="27">
      <c r="A613" s="25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2.75" customHeight="1" s="27">
      <c r="A614" s="25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2.75" customHeight="1" s="27">
      <c r="A615" s="25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2.75" customHeight="1" s="27">
      <c r="A616" s="25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2.75" customHeight="1" s="27">
      <c r="A617" s="25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2.75" customHeight="1" s="27">
      <c r="A618" s="25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2.75" customHeight="1" s="27">
      <c r="A619" s="25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2.75" customHeight="1" s="27">
      <c r="A620" s="25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2.75" customHeight="1" s="27">
      <c r="A621" s="25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2.75" customHeight="1" s="27">
      <c r="A622" s="25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2.75" customHeight="1" s="27">
      <c r="A623" s="25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2.75" customHeight="1" s="27">
      <c r="A624" s="25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2.75" customHeight="1" s="27">
      <c r="A625" s="25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2.75" customHeight="1" s="27">
      <c r="A626" s="25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2.75" customHeight="1" s="27">
      <c r="A627" s="25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2.75" customHeight="1" s="27">
      <c r="A628" s="25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2.75" customHeight="1" s="27">
      <c r="A629" s="25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2.75" customHeight="1" s="27">
      <c r="A630" s="25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2.75" customHeight="1" s="27">
      <c r="A631" s="25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2.75" customHeight="1" s="27">
      <c r="A632" s="25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2.75" customHeight="1" s="27">
      <c r="A633" s="25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2.75" customHeight="1" s="27">
      <c r="A634" s="25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2.75" customHeight="1" s="27">
      <c r="A635" s="25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2.75" customHeight="1" s="27">
      <c r="A636" s="25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2.75" customHeight="1" s="27">
      <c r="A637" s="25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2.75" customHeight="1" s="27">
      <c r="A638" s="25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2.75" customHeight="1" s="27">
      <c r="A639" s="25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2.75" customHeight="1" s="27">
      <c r="A640" s="25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2.75" customHeight="1" s="27">
      <c r="A641" s="25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2.75" customHeight="1" s="27">
      <c r="A642" s="25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2.75" customHeight="1" s="27">
      <c r="A643" s="25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2.75" customHeight="1" s="27">
      <c r="A644" s="25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2.75" customHeight="1" s="27">
      <c r="A645" s="25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2.75" customHeight="1" s="27">
      <c r="A646" s="25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2.75" customHeight="1" s="27">
      <c r="A647" s="25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2.75" customHeight="1" s="27">
      <c r="A648" s="25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2.75" customHeight="1" s="27">
      <c r="A649" s="25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2.75" customHeight="1" s="27">
      <c r="A650" s="25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2.75" customHeight="1" s="27">
      <c r="A651" s="25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2.75" customHeight="1" s="27">
      <c r="A652" s="25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2.75" customHeight="1" s="27">
      <c r="A653" s="25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2.75" customHeight="1" s="27">
      <c r="A654" s="25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2.75" customHeight="1" s="27">
      <c r="A655" s="25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2.75" customHeight="1" s="27">
      <c r="A656" s="25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2.75" customHeight="1" s="27">
      <c r="A657" s="25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2.75" customHeight="1" s="27">
      <c r="A658" s="25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2.75" customHeight="1" s="27">
      <c r="A659" s="25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2.75" customHeight="1" s="27">
      <c r="A660" s="25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2.75" customHeight="1" s="27">
      <c r="A661" s="25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2.75" customHeight="1" s="27">
      <c r="A662" s="25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2.75" customHeight="1" s="27">
      <c r="A663" s="25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2.75" customHeight="1" s="27">
      <c r="A664" s="25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2.75" customHeight="1" s="27">
      <c r="A665" s="25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2.75" customHeight="1" s="27">
      <c r="A666" s="25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2.75" customHeight="1" s="27">
      <c r="A667" s="25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2.75" customHeight="1" s="27">
      <c r="A668" s="25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2.75" customHeight="1" s="27">
      <c r="A669" s="25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2.75" customHeight="1" s="27">
      <c r="A670" s="25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2.75" customHeight="1" s="27">
      <c r="A671" s="25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2.75" customHeight="1" s="27">
      <c r="A672" s="25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2.75" customHeight="1" s="27">
      <c r="A673" s="25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2.75" customHeight="1" s="27">
      <c r="A674" s="25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2.75" customHeight="1" s="27">
      <c r="A675" s="25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2.75" customHeight="1" s="27">
      <c r="A676" s="25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2.75" customHeight="1" s="27">
      <c r="A677" s="25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2.75" customHeight="1" s="27">
      <c r="A678" s="25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2.75" customHeight="1" s="27">
      <c r="A679" s="25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2.75" customHeight="1" s="27">
      <c r="A680" s="25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2.75" customHeight="1" s="27">
      <c r="A681" s="25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2.75" customHeight="1" s="27">
      <c r="A682" s="25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2.75" customHeight="1" s="27">
      <c r="A683" s="25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2.75" customHeight="1" s="27">
      <c r="A684" s="25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2.75" customHeight="1" s="27">
      <c r="A685" s="25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2.75" customHeight="1" s="27">
      <c r="A686" s="25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2.75" customHeight="1" s="27">
      <c r="A687" s="25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2.75" customHeight="1" s="27">
      <c r="A688" s="25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2.75" customHeight="1" s="27">
      <c r="A689" s="25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2.75" customHeight="1" s="27">
      <c r="A690" s="25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2.75" customHeight="1" s="27">
      <c r="A691" s="25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2.75" customHeight="1" s="27">
      <c r="A692" s="25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2.75" customHeight="1" s="27">
      <c r="A693" s="25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2.75" customHeight="1" s="27">
      <c r="A694" s="25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2.75" customHeight="1" s="27">
      <c r="A695" s="25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2.75" customHeight="1" s="27">
      <c r="A696" s="25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2.75" customHeight="1" s="27">
      <c r="A697" s="25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2.75" customHeight="1" s="27">
      <c r="A698" s="25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2.75" customHeight="1" s="27">
      <c r="A699" s="25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2.75" customHeight="1" s="27">
      <c r="A700" s="25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2.75" customHeight="1" s="27">
      <c r="A701" s="25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2.75" customHeight="1" s="27">
      <c r="A702" s="25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2.75" customHeight="1" s="27">
      <c r="A703" s="25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2.75" customHeight="1" s="27">
      <c r="A704" s="25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2.75" customHeight="1" s="27">
      <c r="A705" s="25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2.75" customHeight="1" s="27">
      <c r="A706" s="25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2.75" customHeight="1" s="27">
      <c r="A707" s="25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2.75" customHeight="1" s="27">
      <c r="A708" s="25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2.75" customHeight="1" s="27">
      <c r="A709" s="25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2.75" customHeight="1" s="27">
      <c r="A710" s="25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2.75" customHeight="1" s="27">
      <c r="A711" s="25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2.75" customHeight="1" s="27">
      <c r="A712" s="25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2.75" customHeight="1" s="27">
      <c r="A713" s="25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2.75" customHeight="1" s="27">
      <c r="A714" s="25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2.75" customHeight="1" s="27">
      <c r="A715" s="25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2.75" customHeight="1" s="27">
      <c r="A716" s="25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2.75" customHeight="1" s="27">
      <c r="A717" s="25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2.75" customHeight="1" s="27">
      <c r="A718" s="25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2.75" customHeight="1" s="27">
      <c r="A719" s="25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2.75" customHeight="1" s="27">
      <c r="A720" s="25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2.75" customHeight="1" s="27">
      <c r="A721" s="25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2.75" customHeight="1" s="27">
      <c r="A722" s="25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2.75" customHeight="1" s="27">
      <c r="A723" s="25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2.75" customHeight="1" s="27">
      <c r="A724" s="25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2.75" customHeight="1" s="27">
      <c r="A725" s="25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2.75" customHeight="1" s="27">
      <c r="A726" s="25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2.75" customHeight="1" s="27">
      <c r="A727" s="25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2.75" customHeight="1" s="27">
      <c r="A728" s="25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2.75" customHeight="1" s="27">
      <c r="A729" s="25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2.75" customHeight="1" s="27">
      <c r="A730" s="25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2.75" customHeight="1" s="27">
      <c r="A731" s="25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2.75" customHeight="1" s="27">
      <c r="A732" s="25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2.75" customHeight="1" s="27">
      <c r="A733" s="25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2.75" customHeight="1" s="27">
      <c r="A734" s="25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2.75" customHeight="1" s="27">
      <c r="A735" s="25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2.75" customHeight="1" s="27">
      <c r="A736" s="25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2.75" customHeight="1" s="27">
      <c r="A737" s="25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2.75" customHeight="1" s="27">
      <c r="A738" s="25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2.75" customHeight="1" s="27">
      <c r="A739" s="25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2.75" customHeight="1" s="27">
      <c r="A740" s="25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2.75" customHeight="1" s="27">
      <c r="A741" s="25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2.75" customHeight="1" s="27">
      <c r="A742" s="25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2.75" customHeight="1" s="27">
      <c r="A743" s="25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2.75" customHeight="1" s="27">
      <c r="A744" s="25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2.75" customHeight="1" s="27">
      <c r="A745" s="25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2.75" customHeight="1" s="27">
      <c r="A746" s="25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2.75" customHeight="1" s="27">
      <c r="A747" s="25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2.75" customHeight="1" s="27">
      <c r="A748" s="25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2.75" customHeight="1" s="27">
      <c r="A749" s="25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2.75" customHeight="1" s="27">
      <c r="A750" s="25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2.75" customHeight="1" s="27">
      <c r="A751" s="25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2.75" customHeight="1" s="27">
      <c r="A752" s="25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2.75" customHeight="1" s="27">
      <c r="A753" s="25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2.75" customHeight="1" s="27">
      <c r="A754" s="25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2.75" customHeight="1" s="27">
      <c r="A755" s="25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2.75" customHeight="1" s="27">
      <c r="A756" s="25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2.75" customHeight="1" s="27">
      <c r="A757" s="25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2.75" customHeight="1" s="27">
      <c r="A758" s="25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2.75" customHeight="1" s="27">
      <c r="A759" s="25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2.75" customHeight="1" s="27">
      <c r="A760" s="25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2.75" customHeight="1" s="27">
      <c r="A761" s="25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2.75" customHeight="1" s="27">
      <c r="A762" s="25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2.75" customHeight="1" s="27">
      <c r="A763" s="25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2.75" customHeight="1" s="27">
      <c r="A764" s="25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2.75" customHeight="1" s="27">
      <c r="A765" s="25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2.75" customHeight="1" s="27">
      <c r="A766" s="25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2.75" customHeight="1" s="27">
      <c r="A767" s="25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2.75" customHeight="1" s="27">
      <c r="A768" s="25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2.75" customHeight="1" s="27">
      <c r="A769" s="25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2.75" customHeight="1" s="27">
      <c r="A770" s="25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2.75" customHeight="1" s="27">
      <c r="A771" s="25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2.75" customHeight="1" s="27">
      <c r="A772" s="25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2.75" customHeight="1" s="27">
      <c r="A773" s="25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2.75" customHeight="1" s="27">
      <c r="A774" s="25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2.75" customHeight="1" s="27">
      <c r="A775" s="25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2.75" customHeight="1" s="27">
      <c r="A776" s="25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2.75" customHeight="1" s="27">
      <c r="A777" s="25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2.75" customHeight="1" s="27">
      <c r="A778" s="25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2.75" customHeight="1" s="27">
      <c r="A779" s="25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2.75" customHeight="1" s="27">
      <c r="A780" s="25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2.75" customHeight="1" s="27">
      <c r="A781" s="25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2.75" customHeight="1" s="27">
      <c r="A782" s="25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2.75" customHeight="1" s="27">
      <c r="A783" s="25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2.75" customHeight="1" s="27">
      <c r="A784" s="25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2.75" customHeight="1" s="27">
      <c r="A785" s="25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2.75" customHeight="1" s="27">
      <c r="A786" s="25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2.75" customHeight="1" s="27">
      <c r="A787" s="25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2.75" customHeight="1" s="27">
      <c r="A788" s="25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2.75" customHeight="1" s="27">
      <c r="A789" s="25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2.75" customHeight="1" s="27">
      <c r="A790" s="25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2.75" customHeight="1" s="27">
      <c r="A791" s="25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2.75" customHeight="1" s="27">
      <c r="A792" s="25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2.75" customHeight="1" s="27">
      <c r="A793" s="25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2.75" customHeight="1" s="27">
      <c r="A794" s="25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2.75" customHeight="1" s="27">
      <c r="A795" s="25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2.75" customHeight="1" s="27">
      <c r="A796" s="25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2.75" customHeight="1" s="27">
      <c r="A797" s="25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2.75" customHeight="1" s="27">
      <c r="A798" s="25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2.75" customHeight="1" s="27">
      <c r="A799" s="25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2.75" customHeight="1" s="27">
      <c r="A800" s="25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2.75" customHeight="1" s="27">
      <c r="A801" s="25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2.75" customHeight="1" s="27">
      <c r="A802" s="25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2.75" customHeight="1" s="27">
      <c r="A803" s="25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2.75" customHeight="1" s="27">
      <c r="A804" s="25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2.75" customHeight="1" s="27">
      <c r="A805" s="25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2.75" customHeight="1" s="27">
      <c r="A806" s="25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2.75" customHeight="1" s="27">
      <c r="A807" s="25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2.75" customHeight="1" s="27">
      <c r="A808" s="25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2.75" customHeight="1" s="27">
      <c r="A809" s="25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2.75" customHeight="1" s="27">
      <c r="A810" s="25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2.75" customHeight="1" s="27">
      <c r="A811" s="25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2.75" customHeight="1" s="27">
      <c r="A812" s="25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2.75" customHeight="1" s="27">
      <c r="A813" s="25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2.75" customHeight="1" s="27">
      <c r="A814" s="25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2.75" customHeight="1" s="27">
      <c r="A815" s="25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2.75" customHeight="1" s="27">
      <c r="A816" s="25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2.75" customHeight="1" s="27">
      <c r="A817" s="25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2.75" customHeight="1" s="27">
      <c r="A818" s="25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2.75" customHeight="1" s="27">
      <c r="A819" s="25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2.75" customHeight="1" s="27">
      <c r="A820" s="25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2.75" customHeight="1" s="27">
      <c r="A821" s="25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2.75" customHeight="1" s="27">
      <c r="A822" s="25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2.75" customHeight="1" s="27">
      <c r="A823" s="25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2.75" customHeight="1" s="27">
      <c r="A824" s="25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2.75" customHeight="1" s="27">
      <c r="A825" s="25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2.75" customHeight="1" s="27">
      <c r="A826" s="25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2.75" customHeight="1" s="27">
      <c r="A827" s="25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2.75" customHeight="1" s="27">
      <c r="A828" s="25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2.75" customHeight="1" s="27">
      <c r="A829" s="25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2.75" customHeight="1" s="27">
      <c r="A830" s="25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2.75" customHeight="1" s="27">
      <c r="A831" s="25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2.75" customHeight="1" s="27">
      <c r="A832" s="25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2.75" customHeight="1" s="27">
      <c r="A833" s="25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2.75" customHeight="1" s="27">
      <c r="A834" s="25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2.75" customHeight="1" s="27">
      <c r="A835" s="25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2.75" customHeight="1" s="27">
      <c r="A836" s="25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2.75" customHeight="1" s="27">
      <c r="A837" s="25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2.75" customHeight="1" s="27">
      <c r="A838" s="25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2.75" customHeight="1" s="27">
      <c r="A839" s="25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2.75" customHeight="1" s="27">
      <c r="A840" s="25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2.75" customHeight="1" s="27">
      <c r="A841" s="25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2.75" customHeight="1" s="27">
      <c r="A842" s="25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2.75" customHeight="1" s="27">
      <c r="A843" s="25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2.75" customHeight="1" s="27">
      <c r="A844" s="25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2.75" customHeight="1" s="27">
      <c r="A845" s="25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2.75" customHeight="1" s="27">
      <c r="A846" s="25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2.75" customHeight="1" s="27">
      <c r="A847" s="25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2.75" customHeight="1" s="27">
      <c r="A848" s="25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2.75" customHeight="1" s="27">
      <c r="A849" s="25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2.75" customHeight="1" s="27">
      <c r="A850" s="25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2.75" customHeight="1" s="27">
      <c r="A851" s="25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2.75" customHeight="1" s="27">
      <c r="A852" s="25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2.75" customHeight="1" s="27">
      <c r="A853" s="25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2.75" customHeight="1" s="27">
      <c r="A854" s="25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2.75" customHeight="1" s="27">
      <c r="A855" s="25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2.75" customHeight="1" s="27">
      <c r="A856" s="25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2.75" customHeight="1" s="27">
      <c r="A857" s="25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2.75" customHeight="1" s="27">
      <c r="A858" s="25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2.75" customHeight="1" s="27">
      <c r="A859" s="25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2.75" customHeight="1" s="27">
      <c r="A860" s="25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2.75" customHeight="1" s="27">
      <c r="A861" s="25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2.75" customHeight="1" s="27">
      <c r="A862" s="25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2.75" customHeight="1" s="27">
      <c r="A863" s="25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2.75" customHeight="1" s="27">
      <c r="A864" s="25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2.75" customHeight="1" s="27">
      <c r="A865" s="25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2.75" customHeight="1" s="27">
      <c r="A866" s="25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2.75" customHeight="1" s="27">
      <c r="A867" s="25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2.75" customHeight="1" s="27">
      <c r="A868" s="25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2.75" customHeight="1" s="27">
      <c r="A869" s="25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2.75" customHeight="1" s="27">
      <c r="A870" s="25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2.75" customHeight="1" s="27">
      <c r="A871" s="25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2.75" customHeight="1" s="27">
      <c r="A872" s="25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2.75" customHeight="1" s="27">
      <c r="A873" s="25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2.75" customHeight="1" s="27">
      <c r="A874" s="25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2.75" customHeight="1" s="27">
      <c r="A875" s="25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2.75" customHeight="1" s="27">
      <c r="A876" s="25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2.75" customHeight="1" s="27">
      <c r="A877" s="25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2.75" customHeight="1" s="27">
      <c r="A878" s="25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2.75" customHeight="1" s="27">
      <c r="A879" s="25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2.75" customHeight="1" s="27">
      <c r="A880" s="25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2.75" customHeight="1" s="27">
      <c r="A881" s="25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2.75" customHeight="1" s="27">
      <c r="A882" s="25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2.75" customHeight="1" s="27">
      <c r="A883" s="25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2.75" customHeight="1" s="27">
      <c r="A884" s="25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2.75" customHeight="1" s="27">
      <c r="A885" s="25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2.75" customHeight="1" s="27">
      <c r="A886" s="25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2.75" customHeight="1" s="27">
      <c r="A887" s="25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2.75" customHeight="1" s="27">
      <c r="A888" s="25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2.75" customHeight="1" s="27">
      <c r="A889" s="25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2.75" customHeight="1" s="27">
      <c r="A890" s="25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2.75" customHeight="1" s="27">
      <c r="A891" s="25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2.75" customHeight="1" s="27">
      <c r="A892" s="25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2.75" customHeight="1" s="27">
      <c r="A893" s="25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2.75" customHeight="1" s="27">
      <c r="A894" s="25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2.75" customHeight="1" s="27">
      <c r="A895" s="25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2.75" customHeight="1" s="27">
      <c r="A896" s="25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2.75" customHeight="1" s="27">
      <c r="A897" s="25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2.75" customHeight="1" s="27">
      <c r="A898" s="25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2.75" customHeight="1" s="27">
      <c r="A899" s="25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2.75" customHeight="1" s="27">
      <c r="A900" s="25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2.75" customHeight="1" s="27">
      <c r="A901" s="25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2.75" customHeight="1" s="27">
      <c r="A902" s="25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2.75" customHeight="1" s="27">
      <c r="A903" s="25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2.75" customHeight="1" s="27">
      <c r="A904" s="25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2.75" customHeight="1" s="27">
      <c r="A905" s="25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2.75" customHeight="1" s="27">
      <c r="A906" s="25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2.75" customHeight="1" s="27">
      <c r="A907" s="25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2.75" customHeight="1" s="27">
      <c r="A908" s="25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2.75" customHeight="1" s="27">
      <c r="A909" s="25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2.75" customHeight="1" s="27">
      <c r="A910" s="25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2.75" customHeight="1" s="27">
      <c r="A911" s="25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2.75" customHeight="1" s="27">
      <c r="A912" s="25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2.75" customHeight="1" s="27">
      <c r="A913" s="25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2.75" customHeight="1" s="27">
      <c r="A914" s="25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2.75" customHeight="1" s="27">
      <c r="A915" s="25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2.75" customHeight="1" s="27">
      <c r="A916" s="25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2.75" customHeight="1" s="27">
      <c r="A917" s="25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2.75" customHeight="1" s="27">
      <c r="A918" s="25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2.75" customHeight="1" s="27">
      <c r="A919" s="25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2.75" customHeight="1" s="27">
      <c r="A920" s="25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2.75" customHeight="1" s="27">
      <c r="A921" s="25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2.75" customHeight="1" s="27">
      <c r="A922" s="25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2.75" customHeight="1" s="27">
      <c r="A923" s="25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2.75" customHeight="1" s="27">
      <c r="A924" s="25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2.75" customHeight="1" s="27">
      <c r="A925" s="25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2.75" customHeight="1" s="27">
      <c r="A926" s="25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2.75" customHeight="1" s="27">
      <c r="A927" s="25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2.75" customHeight="1" s="27">
      <c r="A928" s="25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2.75" customHeight="1" s="27">
      <c r="A929" s="25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2.75" customHeight="1" s="27">
      <c r="A930" s="25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2.75" customHeight="1" s="27">
      <c r="A931" s="25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2.75" customHeight="1" s="27">
      <c r="A932" s="25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2.75" customHeight="1" s="27">
      <c r="A933" s="25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2.75" customHeight="1" s="27">
      <c r="A934" s="25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2.75" customHeight="1" s="27">
      <c r="A935" s="25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2.75" customHeight="1" s="27">
      <c r="A936" s="25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2.75" customHeight="1" s="27">
      <c r="A937" s="25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2.75" customHeight="1" s="27">
      <c r="A938" s="25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</sheetData>
  <dataValidations count="3">
    <dataValidation sqref="L5:L52" showDropDown="0" showInputMessage="0" showErrorMessage="1" allowBlank="1" type="list">
      <formula1>"Simple,Medium,Complex"</formula1>
    </dataValidation>
    <dataValidation sqref="M5:M52" showDropDown="0" showInputMessage="0" showErrorMessage="1" allowBlank="1" type="list">
      <formula1>"Low,Medium,High"</formula1>
    </dataValidation>
    <dataValidation sqref="F5:F52" showDropDown="0" showInputMessage="0" showErrorMessage="1" allowBlank="1" type="list">
      <formula1>"To Do,Doing,Done"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Right="0"/>
    <pageSetUpPr/>
  </sheetPr>
  <dimension ref="A1:Z91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1.22" defaultRowHeight="15" customHeight="1"/>
  <cols>
    <col width="3" customWidth="1" style="27" min="1" max="1"/>
    <col width="20.11" customWidth="1" style="27" min="2" max="2"/>
    <col width="13.22" customWidth="1" style="27" min="3" max="3"/>
    <col outlineLevel="1" width="34.22" customWidth="1" style="27" min="4" max="4"/>
    <col width="15" customWidth="1" style="27" min="5" max="5"/>
    <col width="9.220000000000001" customWidth="1" style="27" min="6" max="6"/>
    <col width="5.33" customWidth="1" style="27" min="7" max="7"/>
    <col collapsed="1" width="5.89" customWidth="1" style="27" min="8" max="8"/>
    <col hidden="1" outlineLevel="1" width="44.11" customWidth="1" style="27" min="9" max="9"/>
    <col width="5.67" customWidth="1" style="27" min="10" max="10"/>
    <col outlineLevel="1" width="18.11" customWidth="1" style="27" min="11" max="11"/>
    <col outlineLevel="1" width="9.67" customWidth="1" style="27" min="12" max="13"/>
    <col width="9.44" customWidth="1" style="27" min="14" max="26"/>
  </cols>
  <sheetData>
    <row r="1" ht="18" customHeight="1" s="27">
      <c r="A1" s="26" t="inlineStr">
        <is>
          <t>LOC Evaluation for OrcaXCare (Iteration 2)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5" customHeight="1" s="27">
      <c r="A2" s="4" t="inlineStr">
        <is>
          <t>Main scope (Iteration 2): Scheduling &amp; booking - Work shifts, appointment slot generation, doctor schedule calendar; Patient booking flow (specialty → doctor → slot → payment); My appointments (list, detail, cancel, reschedule); Wallet &amp; online payment; Health insurance cards; Doctor today appointments &amp; doctor dashboard.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5" customHeight="1" s="27">
      <c r="A3" s="4" t="inlineStr">
        <is>
          <t>Sprint outcome: Patient can book an appointment end-to-end and pay (wallet or gateway). Doctor/Admin can manage shifts and slots. Patient manages insurance cards and wallet balance. Doctor sees today’s appointment list.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2.75" customHeight="1" s="27">
      <c r="A4" s="5" t="inlineStr">
        <is>
          <t>#</t>
        </is>
      </c>
      <c r="B4" s="6" t="inlineStr">
        <is>
          <t>Screen / Function</t>
        </is>
      </c>
      <c r="C4" s="6" t="inlineStr">
        <is>
          <t>Feature</t>
        </is>
      </c>
      <c r="D4" s="6" t="inlineStr">
        <is>
          <t>Screen/Function Description</t>
        </is>
      </c>
      <c r="E4" s="6" t="inlineStr">
        <is>
          <t>In Charge</t>
        </is>
      </c>
      <c r="F4" s="6" t="inlineStr">
        <is>
          <t>Status</t>
        </is>
      </c>
      <c r="G4" s="7" t="inlineStr">
        <is>
          <t>SRS</t>
        </is>
      </c>
      <c r="H4" s="7" t="inlineStr">
        <is>
          <t>SDS</t>
        </is>
      </c>
      <c r="I4" s="6" t="inlineStr">
        <is>
          <t>Notes</t>
        </is>
      </c>
      <c r="J4" s="8" t="inlineStr">
        <is>
          <t>LOC</t>
        </is>
      </c>
      <c r="K4" s="8" t="inlineStr">
        <is>
          <t>Code Demo Comments</t>
        </is>
      </c>
      <c r="L4" s="8" t="inlineStr">
        <is>
          <t>Complexity</t>
        </is>
      </c>
      <c r="M4" s="8" t="inlineStr">
        <is>
          <t>Quality</t>
        </is>
      </c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2.75" customHeight="1" s="27">
      <c r="A5" s="9">
        <f>ROW()-4</f>
        <v/>
      </c>
      <c r="B5" s="14" t="inlineStr">
        <is>
          <t>Create Work Shift</t>
        </is>
      </c>
      <c r="C5" s="14" t="inlineStr">
        <is>
          <t>Scheduling</t>
        </is>
      </c>
      <c r="D5" s="16" t="inlineStr">
        <is>
          <t>Doctor, day, start/end, max patients. No overlapping shifts same doctor. Persist shift template. Used by slot generation.</t>
        </is>
      </c>
      <c r="E5" s="13" t="inlineStr">
        <is>
          <t>TruongNTCE180140</t>
        </is>
      </c>
      <c r="F5" s="14" t="inlineStr">
        <is>
          <t>To Do</t>
        </is>
      </c>
      <c r="G5" s="13" t="n"/>
      <c r="H5" s="13" t="n"/>
      <c r="I5" s="14" t="n"/>
      <c r="J5" s="15">
        <f>IF(L5="Simple",60,IF(L5="Medium",120,240))*IF(M5="Low",50%,IF(M5="Medium",75%,100%))</f>
        <v/>
      </c>
      <c r="K5" s="13" t="n"/>
      <c r="L5" s="13" t="inlineStr">
        <is>
          <t>Simple</t>
        </is>
      </c>
      <c r="M5" s="13" t="inlineStr">
        <is>
          <t>High</t>
        </is>
      </c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2.75" customHeight="1" s="27">
      <c r="A6" s="9">
        <f>ROW()-4</f>
        <v/>
      </c>
      <c r="B6" s="14" t="inlineStr">
        <is>
          <t>Work Shifts List</t>
        </is>
      </c>
      <c r="C6" s="14" t="inlineStr">
        <is>
          <t>Scheduling</t>
        </is>
      </c>
      <c r="D6" s="16" t="inlineStr">
        <is>
          <t>Admin/doctor view weekly pattern. Filter by doctor.</t>
        </is>
      </c>
      <c r="E6" s="13" t="inlineStr">
        <is>
          <t>TruongNTCE180140</t>
        </is>
      </c>
      <c r="F6" s="14" t="inlineStr">
        <is>
          <t>To Do</t>
        </is>
      </c>
      <c r="G6" s="13" t="n"/>
      <c r="H6" s="13" t="n"/>
      <c r="I6" s="14" t="n"/>
      <c r="J6" s="15">
        <f>IF(L6="Simple",60,IF(L6="Medium",120,240))*IF(M6="Low",50%,IF(M6="Medium",75%,100%))</f>
        <v/>
      </c>
      <c r="K6" s="13" t="n"/>
      <c r="L6" s="13" t="inlineStr">
        <is>
          <t>Medium</t>
        </is>
      </c>
      <c r="M6" s="13" t="inlineStr">
        <is>
          <t>High</t>
        </is>
      </c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2.75" customHeight="1" s="27">
      <c r="A7" s="9">
        <f>ROW()-4</f>
        <v/>
      </c>
      <c r="B7" s="14" t="inlineStr">
        <is>
          <t>Update Work Shift</t>
        </is>
      </c>
      <c r="C7" s="14" t="inlineStr">
        <is>
          <t>Scheduling</t>
        </is>
      </c>
      <c r="D7" s="16" t="inlineStr">
        <is>
          <t>Adjust hours or capacity. Future slots may regenerate. Persist. Calendar reflects changes.</t>
        </is>
      </c>
      <c r="E7" s="13" t="inlineStr">
        <is>
          <t>TruongNTCE180140</t>
        </is>
      </c>
      <c r="F7" s="14" t="inlineStr">
        <is>
          <t>To Do</t>
        </is>
      </c>
      <c r="G7" s="13" t="n"/>
      <c r="H7" s="13" t="n"/>
      <c r="I7" s="14" t="n"/>
      <c r="J7" s="15">
        <f>IF(L7="Simple",60,IF(L7="Medium",120,240))*IF(M7="Low",50%,IF(M7="Medium",75%,100%))</f>
        <v/>
      </c>
      <c r="K7" s="13" t="n"/>
      <c r="L7" s="13" t="inlineStr">
        <is>
          <t>Simple</t>
        </is>
      </c>
      <c r="M7" s="13" t="inlineStr">
        <is>
          <t>High</t>
        </is>
      </c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2.75" customHeight="1" s="27">
      <c r="A8" s="9">
        <f>ROW()-4</f>
        <v/>
      </c>
      <c r="B8" s="13" t="inlineStr">
        <is>
          <t>Delete Work Shift</t>
        </is>
      </c>
      <c r="C8" s="13" t="inlineStr">
        <is>
          <t>Scheduling</t>
        </is>
      </c>
      <c r="D8" s="13" t="inlineStr">
        <is>
          <t>Delete if no future bookings. Guard with error message.</t>
        </is>
      </c>
      <c r="E8" s="13" t="inlineStr">
        <is>
          <t>TruongNTCE180140</t>
        </is>
      </c>
      <c r="F8" s="14" t="inlineStr">
        <is>
          <t>To Do</t>
        </is>
      </c>
      <c r="G8" s="13" t="n"/>
      <c r="H8" s="13" t="n"/>
      <c r="I8" s="13" t="n"/>
      <c r="J8" s="15">
        <f>IF(L8="Simple",60,IF(L8="Medium",120,240))*IF(M8="Low",50%,IF(M8="Medium",75%,100%))</f>
        <v/>
      </c>
      <c r="K8" s="13" t="n"/>
      <c r="L8" s="13" t="inlineStr">
        <is>
          <t>Simple</t>
        </is>
      </c>
      <c r="M8" s="13" t="inlineStr">
        <is>
          <t>High</t>
        </is>
      </c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2.75" customHeight="1" s="27">
      <c r="A9" s="9">
        <f>ROW()-4</f>
        <v/>
      </c>
      <c r="B9" s="13" t="inlineStr">
        <is>
          <t>Generate Appointment Slots</t>
        </is>
      </c>
      <c r="C9" s="13" t="inlineStr">
        <is>
          <t>Scheduling</t>
        </is>
      </c>
      <c r="D9" s="13" t="inlineStr">
        <is>
          <t>Batch create slots from shifts excluding holidays. No duplicate slot times.</t>
        </is>
      </c>
      <c r="E9" s="13" t="inlineStr">
        <is>
          <t>TruongNTCE180140</t>
        </is>
      </c>
      <c r="F9" s="14" t="inlineStr">
        <is>
          <t>To Do</t>
        </is>
      </c>
      <c r="G9" s="13" t="n"/>
      <c r="H9" s="13" t="n"/>
      <c r="I9" s="13" t="n"/>
      <c r="J9" s="15">
        <f>IF(L9="Simple",60,IF(L9="Medium",120,240))*IF(M9="Low",50%,IF(M9="Medium",75%,100%))</f>
        <v/>
      </c>
      <c r="K9" s="13" t="n"/>
      <c r="L9" s="13" t="inlineStr">
        <is>
          <t>Simple</t>
        </is>
      </c>
      <c r="M9" s="13" t="inlineStr">
        <is>
          <t>High</t>
        </is>
      </c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2.75" customHeight="1" s="27">
      <c r="A10" s="9">
        <f>ROW()-4</f>
        <v/>
      </c>
      <c r="B10" s="13" t="inlineStr">
        <is>
          <t>Doctor Schedule Calendar</t>
        </is>
      </c>
      <c r="C10" s="13" t="inlineStr">
        <is>
          <t>Scheduling</t>
        </is>
      </c>
      <c r="D10" s="13" t="inlineStr">
        <is>
          <t>Week/day grid of slots color-coded available/booked/blocked. Click slot shows detail.</t>
        </is>
      </c>
      <c r="E10" s="13" t="inlineStr">
        <is>
          <t>TruongNTCE180140</t>
        </is>
      </c>
      <c r="F10" s="14" t="inlineStr">
        <is>
          <t>To Do</t>
        </is>
      </c>
      <c r="G10" s="13" t="n"/>
      <c r="H10" s="13" t="n"/>
      <c r="I10" s="13" t="n"/>
      <c r="J10" s="15">
        <f>IF(L10="Simple",60,IF(L10="Medium",120,240))*IF(M10="Low",50%,IF(M10="Medium",75%,100%))</f>
        <v/>
      </c>
      <c r="K10" s="13" t="n"/>
      <c r="L10" s="13" t="inlineStr">
        <is>
          <t>Medium</t>
        </is>
      </c>
      <c r="M10" s="13" t="inlineStr">
        <is>
          <t>High</t>
        </is>
      </c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2.75" customHeight="1" s="27">
      <c r="A11" s="9">
        <f>ROW()-4</f>
        <v/>
      </c>
      <c r="B11" s="13" t="inlineStr">
        <is>
          <t>Block Timeslot</t>
        </is>
      </c>
      <c r="C11" s="13" t="inlineStr">
        <is>
          <t>Scheduling</t>
        </is>
      </c>
      <c r="D11" s="13" t="inlineStr">
        <is>
          <t>Mark single slot unavailable. Cannot book blocked slot.</t>
        </is>
      </c>
      <c r="E11" s="13" t="inlineStr">
        <is>
          <t>TruongNTCE180140</t>
        </is>
      </c>
      <c r="F11" s="14" t="inlineStr">
        <is>
          <t>To Do</t>
        </is>
      </c>
      <c r="G11" s="13" t="n"/>
      <c r="H11" s="13" t="n"/>
      <c r="I11" s="13" t="n"/>
      <c r="J11" s="15">
        <f>IF(L11="Simple",60,IF(L11="Medium",120,240))*IF(M11="Low",50%,IF(M11="Medium",75%,100%))</f>
        <v/>
      </c>
      <c r="K11" s="13" t="n"/>
      <c r="L11" s="13" t="inlineStr">
        <is>
          <t>Medium</t>
        </is>
      </c>
      <c r="M11" s="13" t="inlineStr">
        <is>
          <t>High</t>
        </is>
      </c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2.75" customHeight="1" s="27">
      <c r="A12" s="9">
        <f>ROW()-4</f>
        <v/>
      </c>
      <c r="B12" s="13" t="inlineStr">
        <is>
          <t>Unblock Timeslot</t>
        </is>
      </c>
      <c r="C12" s="13" t="inlineStr">
        <is>
          <t>Scheduling</t>
        </is>
      </c>
      <c r="D12" s="13" t="inlineStr">
        <is>
          <t>Revert block if no conflict. Slot bookable again.</t>
        </is>
      </c>
      <c r="E12" s="13" t="inlineStr">
        <is>
          <t>TruongNTCE180140</t>
        </is>
      </c>
      <c r="F12" s="14" t="inlineStr">
        <is>
          <t>To Do</t>
        </is>
      </c>
      <c r="G12" s="13" t="n"/>
      <c r="H12" s="13" t="n"/>
      <c r="I12" s="13" t="n"/>
      <c r="J12" s="15">
        <f>IF(L12="Simple",60,IF(L12="Medium",120,240))*IF(M12="Low",50%,IF(M12="Medium",75%,100%))</f>
        <v/>
      </c>
      <c r="K12" s="13" t="n"/>
      <c r="L12" s="13" t="inlineStr">
        <is>
          <t>Medium</t>
        </is>
      </c>
      <c r="M12" s="13" t="inlineStr">
        <is>
          <t>High</t>
        </is>
      </c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2.75" customHeight="1" s="27">
      <c r="A13" s="9">
        <f>ROW()-4</f>
        <v/>
      </c>
      <c r="B13" s="13" t="inlineStr">
        <is>
          <t>Book Appointment</t>
        </is>
      </c>
      <c r="C13" s="13" t="inlineStr">
        <is>
          <t>Appointment Booking</t>
        </is>
      </c>
      <c r="D13" s="13" t="inlineStr">
        <is>
          <t>Show specialty list with icons; progress indicator step 1/4. Must select to continue. Doctors filtered by specialty; show next available hint. Doctor card select advances. Calendar/list of available slots for doctor. Unavailable slots disabled. Show doctor, time, fee, insurance discount if any. Edit links return to prior steps. Choose wallet or online payment; confirm dialog. Creates appointment on success. Confirmation number, QR, add to calendar link stub. Email sent stub.</t>
        </is>
      </c>
      <c r="E13" s="13" t="inlineStr">
        <is>
          <t>ThangNDCE180608</t>
        </is>
      </c>
      <c r="F13" s="14" t="inlineStr">
        <is>
          <t>To Do</t>
        </is>
      </c>
      <c r="G13" s="13" t="n"/>
      <c r="H13" s="13" t="n"/>
      <c r="I13" s="13" t="n"/>
      <c r="J13" s="15">
        <f>IF(L13="Simple",60,IF(L13="Medium",120,240))*IF(M13="Low",50%,IF(M13="Medium",75%,100%))</f>
        <v/>
      </c>
      <c r="K13" s="13" t="n"/>
      <c r="L13" s="13" t="inlineStr">
        <is>
          <t>Medium</t>
        </is>
      </c>
      <c r="M13" s="13" t="inlineStr">
        <is>
          <t>High</t>
        </is>
      </c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2.75" customHeight="1" s="27">
      <c r="A14" s="9">
        <f>ROW()-4</f>
        <v/>
      </c>
      <c r="B14" s="13" t="inlineStr">
        <is>
          <t>Booking Conflict Handling</t>
        </is>
      </c>
      <c r="C14" s="13" t="inlineStr">
        <is>
          <t>Appointment Booking</t>
        </is>
      </c>
      <c r="D14" s="13" t="inlineStr">
        <is>
          <t>Show error and refresh available slots. No double booking; user can pick another slot.</t>
        </is>
      </c>
      <c r="E14" s="13" t="inlineStr">
        <is>
          <t>TanhNTCE182341</t>
        </is>
      </c>
      <c r="F14" s="14" t="inlineStr">
        <is>
          <t>To Do</t>
        </is>
      </c>
      <c r="G14" s="13" t="n"/>
      <c r="H14" s="13" t="n"/>
      <c r="I14" s="13" t="n"/>
      <c r="J14" s="15">
        <f>IF(L14="Simple",60,IF(L14="Medium",120,240))*IF(M14="Low",50%,IF(M14="Medium",75%,100%))</f>
        <v/>
      </c>
      <c r="K14" s="13" t="n"/>
      <c r="L14" s="13" t="inlineStr">
        <is>
          <t>Medium</t>
        </is>
      </c>
      <c r="M14" s="13" t="inlineStr">
        <is>
          <t>High</t>
        </is>
      </c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2.75" customHeight="1" s="27">
      <c r="A15" s="9">
        <f>ROW()-4</f>
        <v/>
      </c>
      <c r="B15" s="13" t="inlineStr">
        <is>
          <t>My Appointments List</t>
        </is>
      </c>
      <c r="C15" s="13" t="inlineStr">
        <is>
          <t>Appointment Booking</t>
        </is>
      </c>
      <c r="D15" s="13" t="inlineStr">
        <is>
          <t>Tabs: upcoming, past, cancelled; status badges. Sorted by date; empty states per tab.</t>
        </is>
      </c>
      <c r="E15" s="13" t="inlineStr">
        <is>
          <t>KhoaNNCE181612</t>
        </is>
      </c>
      <c r="F15" s="14" t="inlineStr">
        <is>
          <t>To Do</t>
        </is>
      </c>
      <c r="G15" s="13" t="n"/>
      <c r="H15" s="13" t="n"/>
      <c r="I15" s="13" t="n"/>
      <c r="J15" s="15">
        <f>IF(L15="Simple",60,IF(L15="Medium",120,240))*IF(M15="Low",50%,IF(M15="Medium",75%,100%))</f>
        <v/>
      </c>
      <c r="K15" s="13" t="n"/>
      <c r="L15" s="13" t="inlineStr">
        <is>
          <t>Medium</t>
        </is>
      </c>
      <c r="M15" s="13" t="inlineStr">
        <is>
          <t>High</t>
        </is>
      </c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2.75" customHeight="1" s="27">
      <c r="A16" s="9">
        <f>ROW()-4</f>
        <v/>
      </c>
      <c r="B16" s="13" t="inlineStr">
        <is>
          <t>Appointment Detail</t>
        </is>
      </c>
      <c r="C16" s="13" t="inlineStr">
        <is>
          <t>Appointment Booking</t>
        </is>
      </c>
      <c r="D16" s="13" t="inlineStr">
        <is>
          <t>Date, doctor, status, payment, QR check-in code. Role-based actions (cancel, start visit).</t>
        </is>
      </c>
      <c r="E16" s="13" t="inlineStr">
        <is>
          <t>KhoaNNCE181612</t>
        </is>
      </c>
      <c r="F16" s="14" t="inlineStr">
        <is>
          <t>To Do</t>
        </is>
      </c>
      <c r="G16" s="13" t="n"/>
      <c r="H16" s="13" t="n"/>
      <c r="I16" s="13" t="n"/>
      <c r="J16" s="15">
        <f>IF(L16="Simple",60,IF(L16="Medium",120,240))*IF(M16="Low",50%,IF(M16="Medium",75%,100%))</f>
        <v/>
      </c>
      <c r="K16" s="13" t="n"/>
      <c r="L16" s="13" t="inlineStr">
        <is>
          <t>Simple</t>
        </is>
      </c>
      <c r="M16" s="13" t="inlineStr">
        <is>
          <t>High</t>
        </is>
      </c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2.75" customHeight="1" s="27">
      <c r="A17" s="9">
        <f>ROW()-4</f>
        <v/>
      </c>
      <c r="B17" s="13" t="inlineStr">
        <is>
          <t>Cancel Appointment</t>
        </is>
      </c>
      <c r="C17" s="13" t="inlineStr">
        <is>
          <t>Appointment Booking</t>
        </is>
      </c>
      <c r="D17" s="13" t="inlineStr">
        <is>
          <t>Show policy text and refund estimate. Confirm required. Update status; trigger refund rules. Cannot cancel after deadline per policy.</t>
        </is>
      </c>
      <c r="E17" s="13" t="inlineStr">
        <is>
          <t>ThangNDCE180608</t>
        </is>
      </c>
      <c r="F17" s="14" t="inlineStr">
        <is>
          <t>To Do</t>
        </is>
      </c>
      <c r="G17" s="13" t="n"/>
      <c r="H17" s="13" t="n"/>
      <c r="I17" s="13" t="n"/>
      <c r="J17" s="15">
        <f>IF(L17="Simple",60,IF(L17="Medium",120,240))*IF(M17="Low",50%,IF(M17="Medium",75%,100%))</f>
        <v/>
      </c>
      <c r="K17" s="13" t="n"/>
      <c r="L17" s="13" t="inlineStr">
        <is>
          <t>Simple</t>
        </is>
      </c>
      <c r="M17" s="13" t="inlineStr">
        <is>
          <t>High</t>
        </is>
      </c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2.75" customHeight="1" s="27">
      <c r="A18" s="9">
        <f>ROW()-4</f>
        <v/>
      </c>
      <c r="B18" s="13" t="inlineStr">
        <is>
          <t>Reschedule Appointment</t>
        </is>
      </c>
      <c r="C18" s="13" t="inlineStr">
        <is>
          <t>Appointment Booking</t>
        </is>
      </c>
      <c r="D18" s="13" t="inlineStr">
        <is>
          <t>Re-enter slot selection with current appointment context. Old slot released only after new confirmed.</t>
        </is>
      </c>
      <c r="E18" s="13" t="inlineStr">
        <is>
          <t>ThangDQCE182036</t>
        </is>
      </c>
      <c r="F18" s="14" t="inlineStr">
        <is>
          <t>To Do</t>
        </is>
      </c>
      <c r="G18" s="13" t="n"/>
      <c r="H18" s="13" t="n"/>
      <c r="I18" s="13" t="n"/>
      <c r="J18" s="15">
        <f>IF(L18="Simple",60,IF(L18="Medium",120,240))*IF(M18="Low",50%,IF(M18="Medium",75%,100%))</f>
        <v/>
      </c>
      <c r="K18" s="13" t="n"/>
      <c r="L18" s="13" t="inlineStr">
        <is>
          <t>Simple</t>
        </is>
      </c>
      <c r="M18" s="13" t="inlineStr">
        <is>
          <t>High</t>
        </is>
      </c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2.75" customHeight="1" s="27">
      <c r="A19" s="9">
        <f>ROW()-4</f>
        <v/>
      </c>
      <c r="B19" s="13" t="inlineStr">
        <is>
          <t>Wallet Dashboard</t>
        </is>
      </c>
      <c r="C19" s="13" t="inlineStr">
        <is>
          <t>Wallet &amp; Payment</t>
        </is>
      </c>
      <c r="D19" s="13" t="inlineStr">
        <is>
          <t>Balance card + shortcut top-up. Balance matches ledger.</t>
        </is>
      </c>
      <c r="E19" s="13" t="inlineStr">
        <is>
          <t>ThangNDCE180608</t>
        </is>
      </c>
      <c r="F19" s="14" t="inlineStr">
        <is>
          <t>To Do</t>
        </is>
      </c>
      <c r="G19" s="13" t="n"/>
      <c r="H19" s="13" t="n"/>
      <c r="I19" s="13" t="n"/>
      <c r="J19" s="15">
        <f>IF(L19="Simple",60,IF(L19="Medium",120,240))*IF(M19="Low",50%,IF(M19="Medium",75%,100%))</f>
        <v/>
      </c>
      <c r="K19" s="13" t="n"/>
      <c r="L19" s="13" t="inlineStr">
        <is>
          <t>Simple</t>
        </is>
      </c>
      <c r="M19" s="13" t="inlineStr">
        <is>
          <t>High</t>
        </is>
      </c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2.75" customHeight="1" s="27">
      <c r="A20" s="9">
        <f>ROW()-4</f>
        <v/>
      </c>
      <c r="B20" s="13" t="inlineStr">
        <is>
          <t>Top Up Wallet</t>
        </is>
      </c>
      <c r="C20" s="13" t="inlineStr">
        <is>
          <t>Wallet &amp; Payment</t>
        </is>
      </c>
      <c r="D20" s="13" t="inlineStr">
        <is>
          <t>Enter amount; select payment method. Min/max amount validated. Redirect sandbox; return handler. Balance increases on success. Receipt summary. Balance updated on screen. Reason code message; retry CTA. Balance unchanged.</t>
        </is>
      </c>
      <c r="E20" s="13" t="inlineStr">
        <is>
          <t>ThangDQCE182036</t>
        </is>
      </c>
      <c r="F20" s="14" t="inlineStr">
        <is>
          <t>To Do</t>
        </is>
      </c>
      <c r="G20" s="13" t="n"/>
      <c r="H20" s="13" t="n"/>
      <c r="I20" s="13" t="n"/>
      <c r="J20" s="15">
        <f>IF(L20="Simple",60,IF(L20="Medium",120,240))*IF(M20="Low",50%,IF(M20="Medium",75%,100%))</f>
        <v/>
      </c>
      <c r="K20" s="13" t="n"/>
      <c r="L20" s="13" t="inlineStr">
        <is>
          <t>Complex</t>
        </is>
      </c>
      <c r="M20" s="13" t="inlineStr">
        <is>
          <t>High</t>
        </is>
      </c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2.75" customHeight="1" s="27">
      <c r="A21" s="9">
        <f>ROW()-4</f>
        <v/>
      </c>
      <c r="B21" s="13" t="inlineStr">
        <is>
          <t>Pay Appointment with Wallet</t>
        </is>
      </c>
      <c r="C21" s="13" t="inlineStr">
        <is>
          <t>Wallet &amp; Payment</t>
        </is>
      </c>
      <c r="D21" s="13" t="inlineStr">
        <is>
          <t>Deduct at booking confirm. Insufficient balance blocks with CTA top-up.</t>
        </is>
      </c>
      <c r="E21" s="13" t="inlineStr">
        <is>
          <t>TanhNTCE182341</t>
        </is>
      </c>
      <c r="F21" s="14" t="inlineStr">
        <is>
          <t>To Do</t>
        </is>
      </c>
      <c r="G21" s="13" t="n"/>
      <c r="H21" s="13" t="n"/>
      <c r="I21" s="13" t="n"/>
      <c r="J21" s="15">
        <f>IF(L21="Simple",60,IF(L21="Medium",120,240))*IF(M21="Low",50%,IF(M21="Medium",75%,100%))</f>
        <v/>
      </c>
      <c r="K21" s="13" t="n"/>
      <c r="L21" s="13" t="inlineStr">
        <is>
          <t>Complex</t>
        </is>
      </c>
      <c r="M21" s="13" t="inlineStr">
        <is>
          <t>High</t>
        </is>
      </c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2.75" customHeight="1" s="27">
      <c r="A22" s="9">
        <f>ROW()-4</f>
        <v/>
      </c>
      <c r="B22" s="13" t="inlineStr">
        <is>
          <t>Wallet Transaction History</t>
        </is>
      </c>
      <c r="C22" s="13" t="inlineStr">
        <is>
          <t>Wallet &amp; Payment</t>
        </is>
      </c>
      <c r="D22" s="13" t="inlineStr">
        <is>
          <t>List credits/debits with type icons. Newest first. Date range picker. Results match range. Top-up, payment, refund filters. Combinable with date.</t>
        </is>
      </c>
      <c r="E22" s="13" t="inlineStr">
        <is>
          <t>TanhNTCE182341</t>
        </is>
      </c>
      <c r="F22" s="14" t="inlineStr">
        <is>
          <t>To Do</t>
        </is>
      </c>
      <c r="G22" s="13" t="n"/>
      <c r="H22" s="13" t="n"/>
      <c r="I22" s="13" t="n"/>
      <c r="J22" s="15">
        <f>IF(L22="Simple",60,IF(L22="Medium",120,240))*IF(M22="Low",50%,IF(M22="Medium",75%,100%))</f>
        <v/>
      </c>
      <c r="K22" s="13" t="n"/>
      <c r="L22" s="13" t="inlineStr">
        <is>
          <t>Simple</t>
        </is>
      </c>
      <c r="M22" s="13" t="inlineStr">
        <is>
          <t>High</t>
        </is>
      </c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2.75" customHeight="1" s="27">
      <c r="A23" s="9">
        <f>ROW()-4</f>
        <v/>
      </c>
      <c r="B23" s="13" t="inlineStr">
        <is>
          <t>Online Payment</t>
        </is>
      </c>
      <c r="C23" s="13" t="inlineStr">
        <is>
          <t>Wallet &amp; Payment</t>
        </is>
      </c>
      <c r="D23" s="13" t="inlineStr">
        <is>
          <t>Redirect VNPay/Momo for booking or top-up. Signature verified on callback. Success UI with reference id. Booking/wallet updated. Failure reason; retry. No state change on fail.</t>
        </is>
      </c>
      <c r="E23" s="13" t="inlineStr">
        <is>
          <t>KhoaNNCE181612</t>
        </is>
      </c>
      <c r="F23" s="14" t="inlineStr">
        <is>
          <t>To Do</t>
        </is>
      </c>
      <c r="G23" s="13" t="n"/>
      <c r="H23" s="13" t="n"/>
      <c r="I23" s="13" t="n"/>
      <c r="J23" s="15">
        <f>IF(L23="Simple",60,IF(L23="Medium",120,240))*IF(M23="Low",50%,IF(M23="Medium",75%,100%))</f>
        <v/>
      </c>
      <c r="K23" s="13" t="n"/>
      <c r="L23" s="13" t="inlineStr">
        <is>
          <t>Complex</t>
        </is>
      </c>
      <c r="M23" s="13" t="inlineStr">
        <is>
          <t>High</t>
        </is>
      </c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2.75" customHeight="1" s="27">
      <c r="A24" s="9">
        <f>ROW()-4</f>
        <v/>
      </c>
      <c r="B24" s="13" t="inlineStr">
        <is>
          <t>Process Refund to Wallet on Cancel</t>
        </is>
      </c>
      <c r="C24" s="13" t="inlineStr">
        <is>
          <t>Wallet &amp; Payment</t>
        </is>
      </c>
      <c r="D24" s="13" t="inlineStr">
        <is>
          <t>Auto credit per cancel policy. Ledger entry linked to appointment.</t>
        </is>
      </c>
      <c r="E24" s="13" t="inlineStr">
        <is>
          <t>ThangNDCE180608</t>
        </is>
      </c>
      <c r="F24" s="14" t="inlineStr">
        <is>
          <t>To Do</t>
        </is>
      </c>
      <c r="G24" s="13" t="n"/>
      <c r="H24" s="13" t="n"/>
      <c r="I24" s="13" t="n"/>
      <c r="J24" s="15">
        <f>IF(L24="Simple",60,IF(L24="Medium",120,240))*IF(M24="Low",50%,IF(M24="Medium",75%,100%))</f>
        <v/>
      </c>
      <c r="K24" s="13" t="n"/>
      <c r="L24" s="13" t="inlineStr">
        <is>
          <t>Complex</t>
        </is>
      </c>
      <c r="M24" s="13" t="inlineStr">
        <is>
          <t>High</t>
        </is>
      </c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2.75" customHeight="1" s="27">
      <c r="A25" s="9">
        <f>ROW()-4</f>
        <v/>
      </c>
      <c r="B25" s="13" t="inlineStr">
        <is>
          <t>Insurance Card List</t>
        </is>
      </c>
      <c r="C25" s="13" t="inlineStr">
        <is>
          <t>Health Insurance</t>
        </is>
      </c>
      <c r="D25" s="13" t="inlineStr">
        <is>
          <t>Patient sees saved policies. Empty state CTA add.</t>
        </is>
      </c>
      <c r="E25" s="13" t="inlineStr">
        <is>
          <t>TruongNTCE180140</t>
        </is>
      </c>
      <c r="F25" s="14" t="inlineStr">
        <is>
          <t>To Do</t>
        </is>
      </c>
      <c r="G25" s="13" t="n"/>
      <c r="H25" s="13" t="n"/>
      <c r="I25" s="13" t="n"/>
      <c r="J25" s="15">
        <f>IF(L25="Simple",60,IF(L25="Medium",120,240))*IF(M25="Low",50%,IF(M25="Medium",75%,100%))</f>
        <v/>
      </c>
      <c r="K25" s="13" t="n"/>
      <c r="L25" s="13" t="inlineStr">
        <is>
          <t>Simple</t>
        </is>
      </c>
      <c r="M25" s="13" t="inlineStr">
        <is>
          <t>High</t>
        </is>
      </c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2.75" customHeight="1" s="27">
      <c r="A26" s="9">
        <f>ROW()-4</f>
        <v/>
      </c>
      <c r="B26" s="13" t="inlineStr">
        <is>
          <t>Add Insurance Card</t>
        </is>
      </c>
      <c r="C26" s="13" t="inlineStr">
        <is>
          <t>Health Insurance</t>
        </is>
      </c>
      <c r="D26" s="13" t="inlineStr">
        <is>
          <t>Policy no, dates, coverage %. Validation on dates. Persist card. Used in booking discount.</t>
        </is>
      </c>
      <c r="E26" s="13" t="inlineStr">
        <is>
          <t>KhoaNNCE181612</t>
        </is>
      </c>
      <c r="F26" s="14" t="inlineStr">
        <is>
          <t>To Do</t>
        </is>
      </c>
      <c r="G26" s="13" t="n"/>
      <c r="H26" s="13" t="n"/>
      <c r="I26" s="13" t="n"/>
      <c r="J26" s="15">
        <f>IF(L26="Simple",60,IF(L26="Medium",120,240))*IF(M26="Low",50%,IF(M26="Medium",75%,100%))</f>
        <v/>
      </c>
      <c r="K26" s="13" t="n"/>
      <c r="L26" s="13" t="inlineStr">
        <is>
          <t>Simple</t>
        </is>
      </c>
      <c r="M26" s="13" t="inlineStr">
        <is>
          <t>High</t>
        </is>
      </c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2.75" customHeight="1" s="27">
      <c r="A27" s="9">
        <f>ROW()-4</f>
        <v/>
      </c>
      <c r="B27" s="13" t="inlineStr">
        <is>
          <t>Update Insurance Card</t>
        </is>
      </c>
      <c r="C27" s="13" t="inlineStr">
        <is>
          <t>Health Insurance</t>
        </is>
      </c>
      <c r="D27" s="13" t="inlineStr">
        <is>
          <t>Update fields. Cancel works. Persist. Booking quote uses new %.</t>
        </is>
      </c>
      <c r="E27" s="13" t="inlineStr">
        <is>
          <t>ThangNDCE180608</t>
        </is>
      </c>
      <c r="F27" s="14" t="inlineStr">
        <is>
          <t>To Do</t>
        </is>
      </c>
      <c r="G27" s="13" t="n"/>
      <c r="H27" s="13" t="n"/>
      <c r="I27" s="13" t="n"/>
      <c r="J27" s="15">
        <f>IF(L27="Simple",60,IF(L27="Medium",120,240))*IF(M27="Low",50%,IF(M27="Medium",75%,100%))</f>
        <v/>
      </c>
      <c r="K27" s="13" t="n"/>
      <c r="L27" s="13" t="inlineStr">
        <is>
          <t>Simple</t>
        </is>
      </c>
      <c r="M27" s="13" t="inlineStr">
        <is>
          <t>High</t>
        </is>
      </c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2.75" customHeight="1" s="27">
      <c r="A28" s="9">
        <f>ROW()-4</f>
        <v/>
      </c>
      <c r="B28" s="13" t="inlineStr">
        <is>
          <t>Delete Insurance Card</t>
        </is>
      </c>
      <c r="C28" s="13" t="inlineStr">
        <is>
          <t>Health Insurance</t>
        </is>
      </c>
      <c r="D28" s="13" t="inlineStr">
        <is>
          <t>Confirm delete. No longer offered at booking.</t>
        </is>
      </c>
      <c r="E28" s="13" t="inlineStr">
        <is>
          <t>TanhNTCE182341</t>
        </is>
      </c>
      <c r="F28" s="14" t="inlineStr">
        <is>
          <t>To Do</t>
        </is>
      </c>
      <c r="G28" s="13" t="n"/>
      <c r="H28" s="13" t="n"/>
      <c r="I28" s="13" t="n"/>
      <c r="J28" s="15">
        <f>IF(L28="Simple",60,IF(L28="Medium",120,240))*IF(M28="Low",50%,IF(M28="Medium",75%,100%))</f>
        <v/>
      </c>
      <c r="K28" s="13" t="n"/>
      <c r="L28" s="13" t="inlineStr">
        <is>
          <t>Simple</t>
        </is>
      </c>
      <c r="M28" s="13" t="inlineStr">
        <is>
          <t>High</t>
        </is>
      </c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2.75" customHeight="1" s="27">
      <c r="A29" s="9">
        <f>ROW()-4</f>
        <v/>
      </c>
      <c r="B29" s="13" t="inlineStr">
        <is>
          <t>Insurance Discount on Booking</t>
        </is>
      </c>
      <c r="C29" s="13" t="inlineStr">
        <is>
          <t>Health Insurance</t>
        </is>
      </c>
      <c r="D29" s="13" t="inlineStr">
        <is>
          <t>Line item on booking summary. 0% if expired.</t>
        </is>
      </c>
      <c r="E29" s="13" t="inlineStr">
        <is>
          <t>KhoaNNCE181612</t>
        </is>
      </c>
      <c r="F29" s="14" t="inlineStr">
        <is>
          <t>To Do</t>
        </is>
      </c>
      <c r="G29" s="13" t="n"/>
      <c r="H29" s="13" t="n"/>
      <c r="I29" s="13" t="n"/>
      <c r="J29" s="15">
        <f>IF(L29="Simple",60,IF(L29="Medium",120,240))*IF(M29="Low",50%,IF(M29="Medium",75%,100%))</f>
        <v/>
      </c>
      <c r="K29" s="13" t="n"/>
      <c r="L29" s="13" t="inlineStr">
        <is>
          <t>Simple</t>
        </is>
      </c>
      <c r="M29" s="13" t="inlineStr">
        <is>
          <t>High</t>
        </is>
      </c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2.75" customHeight="1" s="27">
      <c r="A30" s="9">
        <f>ROW()-4</f>
        <v/>
      </c>
      <c r="B30" s="13" t="inlineStr">
        <is>
          <t>Doctor Dashboard</t>
        </is>
      </c>
      <c r="C30" s="13" t="inlineStr">
        <is>
          <t>Clinical Visit</t>
        </is>
      </c>
      <c r="D30" s="13" t="inlineStr">
        <is>
          <t>Today's appointments count, queue status, shortcuts. Loads after doctor login.</t>
        </is>
      </c>
      <c r="E30" s="13" t="inlineStr">
        <is>
          <t>ThangNDCE180608</t>
        </is>
      </c>
      <c r="F30" s="14" t="inlineStr">
        <is>
          <t>To Do</t>
        </is>
      </c>
      <c r="G30" s="13" t="n"/>
      <c r="H30" s="13" t="n"/>
      <c r="I30" s="13" t="n"/>
      <c r="J30" s="15">
        <f>IF(L30="Simple",60,IF(L30="Medium",120,240))*IF(M30="Low",50%,IF(M30="Medium",75%,100%))</f>
        <v/>
      </c>
      <c r="K30" s="13" t="n"/>
      <c r="L30" s="13" t="inlineStr">
        <is>
          <t>Simple</t>
        </is>
      </c>
      <c r="M30" s="13" t="inlineStr">
        <is>
          <t>High</t>
        </is>
      </c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2.75" customHeight="1" s="27">
      <c r="A31" s="9">
        <f>ROW()-4</f>
        <v/>
      </c>
      <c r="B31" s="13" t="inlineStr">
        <is>
          <t>Today Appointments List</t>
        </is>
      </c>
      <c r="C31" s="13" t="inlineStr">
        <is>
          <t>Clinical Visit</t>
        </is>
      </c>
      <c r="D31" s="13" t="inlineStr">
        <is>
          <t>Filter by status; sort by time. Click opens appointment detail.</t>
        </is>
      </c>
      <c r="E31" s="13" t="inlineStr">
        <is>
          <t>ThangDQCE182036</t>
        </is>
      </c>
      <c r="F31" s="14" t="inlineStr">
        <is>
          <t>To Do</t>
        </is>
      </c>
      <c r="G31" s="13" t="n"/>
      <c r="H31" s="13" t="n"/>
      <c r="I31" s="13" t="n"/>
      <c r="J31" s="15">
        <f>IF(L31="Simple",60,IF(L31="Medium",120,240))*IF(M31="Low",50%,IF(M31="Medium",75%,100%))</f>
        <v/>
      </c>
      <c r="K31" s="13" t="n"/>
      <c r="L31" s="13" t="inlineStr">
        <is>
          <t>Simple</t>
        </is>
      </c>
      <c r="M31" s="13" t="inlineStr">
        <is>
          <t>High</t>
        </is>
      </c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2.75" customHeight="1" s="27">
      <c r="A32" s="25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2.75" customHeight="1" s="27">
      <c r="A33" s="25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2.75" customHeight="1" s="27">
      <c r="A34" s="25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2.75" customHeight="1" s="27">
      <c r="A35" s="25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2.75" customHeight="1" s="27">
      <c r="A36" s="25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2.75" customHeight="1" s="27">
      <c r="A37" s="25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2.75" customHeight="1" s="27">
      <c r="A38" s="25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2.75" customHeight="1" s="27">
      <c r="A39" s="25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2.75" customHeight="1" s="27">
      <c r="A40" s="25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2.75" customHeight="1" s="27">
      <c r="A41" s="25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2.75" customHeight="1" s="27">
      <c r="A42" s="25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2.75" customHeight="1" s="27">
      <c r="A43" s="25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2.75" customHeight="1" s="27">
      <c r="A44" s="25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2.75" customHeight="1" s="27">
      <c r="A45" s="25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2.75" customHeight="1" s="27">
      <c r="A46" s="25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2.75" customHeight="1" s="27">
      <c r="A47" s="25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2.75" customHeight="1" s="27">
      <c r="A48" s="25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2.75" customHeight="1" s="27">
      <c r="A49" s="25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2.75" customHeight="1" s="27">
      <c r="A50" s="25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2.75" customHeight="1" s="27">
      <c r="A51" s="25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2.75" customHeight="1" s="27">
      <c r="A52" s="25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2.75" customHeight="1" s="27">
      <c r="A53" s="25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2.75" customHeight="1" s="27">
      <c r="A54" s="25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2.75" customHeight="1" s="27">
      <c r="A55" s="25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2.75" customHeight="1" s="27">
      <c r="A56" s="25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2.75" customHeight="1" s="27">
      <c r="A57" s="25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2.75" customHeight="1" s="27">
      <c r="A58" s="25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2.75" customHeight="1" s="27">
      <c r="A59" s="25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2.75" customHeight="1" s="27">
      <c r="A60" s="25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2.75" customHeight="1" s="27">
      <c r="A61" s="25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2.75" customHeight="1" s="27">
      <c r="A62" s="25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2.75" customHeight="1" s="27">
      <c r="A63" s="25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2.75" customHeight="1" s="27">
      <c r="A64" s="25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2.75" customHeight="1" s="27">
      <c r="A65" s="25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2.75" customHeight="1" s="27">
      <c r="A66" s="25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2.75" customHeight="1" s="27">
      <c r="A67" s="25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2.75" customHeight="1" s="27">
      <c r="A68" s="25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2.75" customHeight="1" s="27">
      <c r="A69" s="25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2.75" customHeight="1" s="27">
      <c r="A70" s="25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2.75" customHeight="1" s="27">
      <c r="A71" s="25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2.75" customHeight="1" s="27">
      <c r="A72" s="25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2.75" customHeight="1" s="27">
      <c r="A73" s="25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2.75" customHeight="1" s="27">
      <c r="A74" s="25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2.75" customHeight="1" s="27">
      <c r="A75" s="25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2.75" customHeight="1" s="27">
      <c r="A76" s="25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2.75" customHeight="1" s="27">
      <c r="A77" s="25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2.75" customHeight="1" s="27">
      <c r="A78" s="25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2.75" customHeight="1" s="27">
      <c r="A79" s="25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2.75" customHeight="1" s="27">
      <c r="A80" s="25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2.75" customHeight="1" s="27">
      <c r="A81" s="25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2.75" customHeight="1" s="27">
      <c r="A82" s="25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2.75" customHeight="1" s="27">
      <c r="A83" s="25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2.75" customHeight="1" s="27">
      <c r="A84" s="25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2.75" customHeight="1" s="27">
      <c r="A85" s="25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2.75" customHeight="1" s="27">
      <c r="A86" s="25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2.75" customHeight="1" s="27">
      <c r="A87" s="25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2.75" customHeight="1" s="27">
      <c r="A88" s="25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2.75" customHeight="1" s="27">
      <c r="A89" s="25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2.75" customHeight="1" s="27">
      <c r="A90" s="25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2.75" customHeight="1" s="27">
      <c r="A91" s="25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2.75" customHeight="1" s="27">
      <c r="A92" s="25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2.75" customHeight="1" s="27">
      <c r="A93" s="25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2.75" customHeight="1" s="27">
      <c r="A94" s="25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2.75" customHeight="1" s="27">
      <c r="A95" s="25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2.75" customHeight="1" s="27">
      <c r="A96" s="25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2.75" customHeight="1" s="27">
      <c r="A97" s="25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2.75" customHeight="1" s="27">
      <c r="A98" s="25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2.75" customHeight="1" s="27">
      <c r="A99" s="25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2.75" customHeight="1" s="27">
      <c r="A100" s="25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2.75" customHeight="1" s="27">
      <c r="A101" s="25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2.75" customHeight="1" s="27">
      <c r="A102" s="25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2.75" customHeight="1" s="27">
      <c r="A103" s="25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2.75" customHeight="1" s="27">
      <c r="A104" s="25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2.75" customHeight="1" s="27">
      <c r="A105" s="25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2.75" customHeight="1" s="27">
      <c r="A106" s="25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2.75" customHeight="1" s="27">
      <c r="A107" s="25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2.75" customHeight="1" s="27">
      <c r="A108" s="25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2.75" customHeight="1" s="27">
      <c r="A109" s="25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2.75" customHeight="1" s="27">
      <c r="A110" s="25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2.75" customHeight="1" s="27">
      <c r="A111" s="25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2.75" customHeight="1" s="27">
      <c r="A112" s="25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2.75" customHeight="1" s="27">
      <c r="A113" s="25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2.75" customHeight="1" s="27">
      <c r="A114" s="25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2.75" customHeight="1" s="27">
      <c r="A115" s="25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2.75" customHeight="1" s="27">
      <c r="A116" s="25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2.75" customHeight="1" s="27">
      <c r="A117" s="25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2.75" customHeight="1" s="27">
      <c r="A118" s="25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2.75" customHeight="1" s="27">
      <c r="A119" s="25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2.75" customHeight="1" s="27">
      <c r="A120" s="25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2.75" customHeight="1" s="27">
      <c r="A121" s="25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2.75" customHeight="1" s="27">
      <c r="A122" s="25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2.75" customHeight="1" s="27">
      <c r="A123" s="25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2.75" customHeight="1" s="27">
      <c r="A124" s="25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2.75" customHeight="1" s="27">
      <c r="A125" s="25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2.75" customHeight="1" s="27">
      <c r="A126" s="25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2.75" customHeight="1" s="27">
      <c r="A127" s="25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2.75" customHeight="1" s="27">
      <c r="A128" s="25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2.75" customHeight="1" s="27">
      <c r="A129" s="25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2.75" customHeight="1" s="27">
      <c r="A130" s="25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2.75" customHeight="1" s="27">
      <c r="A131" s="25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2.75" customHeight="1" s="27">
      <c r="A132" s="25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2.75" customHeight="1" s="27">
      <c r="A133" s="25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2.75" customHeight="1" s="27">
      <c r="A134" s="25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2.75" customHeight="1" s="27">
      <c r="A135" s="25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2.75" customHeight="1" s="27">
      <c r="A136" s="25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2.75" customHeight="1" s="27">
      <c r="A137" s="25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2.75" customHeight="1" s="27">
      <c r="A138" s="25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2.75" customHeight="1" s="27">
      <c r="A139" s="25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2.75" customHeight="1" s="27">
      <c r="A140" s="25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2.75" customHeight="1" s="27">
      <c r="A141" s="25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2.75" customHeight="1" s="27">
      <c r="A142" s="25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2.75" customHeight="1" s="27">
      <c r="A143" s="25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2.75" customHeight="1" s="27">
      <c r="A144" s="25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2.75" customHeight="1" s="27">
      <c r="A145" s="25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2.75" customHeight="1" s="27">
      <c r="A146" s="25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2.75" customHeight="1" s="27">
      <c r="A147" s="25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2.75" customHeight="1" s="27">
      <c r="A148" s="25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2.75" customHeight="1" s="27">
      <c r="A149" s="25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2.75" customHeight="1" s="27">
      <c r="A150" s="25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2.75" customHeight="1" s="27">
      <c r="A151" s="25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2.75" customHeight="1" s="27">
      <c r="A152" s="25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2.75" customHeight="1" s="27">
      <c r="A153" s="25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2.75" customHeight="1" s="27">
      <c r="A154" s="25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2.75" customHeight="1" s="27">
      <c r="A155" s="25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2.75" customHeight="1" s="27">
      <c r="A156" s="25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2.75" customHeight="1" s="27">
      <c r="A157" s="25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2.75" customHeight="1" s="27">
      <c r="A158" s="25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2.75" customHeight="1" s="27">
      <c r="A159" s="25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2.75" customHeight="1" s="27">
      <c r="A160" s="25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2.75" customHeight="1" s="27">
      <c r="A161" s="25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2.75" customHeight="1" s="27">
      <c r="A162" s="25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2.75" customHeight="1" s="27">
      <c r="A163" s="25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2.75" customHeight="1" s="27">
      <c r="A164" s="25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2.75" customHeight="1" s="27">
      <c r="A165" s="25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2.75" customHeight="1" s="27">
      <c r="A166" s="25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2.75" customHeight="1" s="27">
      <c r="A167" s="25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2.75" customHeight="1" s="27">
      <c r="A168" s="25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2.75" customHeight="1" s="27">
      <c r="A169" s="25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2.75" customHeight="1" s="27">
      <c r="A170" s="25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2.75" customHeight="1" s="27">
      <c r="A171" s="25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2.75" customHeight="1" s="27">
      <c r="A172" s="25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2.75" customHeight="1" s="27">
      <c r="A173" s="25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2.75" customHeight="1" s="27">
      <c r="A174" s="25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2.75" customHeight="1" s="27">
      <c r="A175" s="25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2.75" customHeight="1" s="27">
      <c r="A176" s="25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2.75" customHeight="1" s="27">
      <c r="A177" s="25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2.75" customHeight="1" s="27">
      <c r="A178" s="25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2.75" customHeight="1" s="27">
      <c r="A179" s="25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2.75" customHeight="1" s="27">
      <c r="A180" s="25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2.75" customHeight="1" s="27">
      <c r="A181" s="25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2.75" customHeight="1" s="27">
      <c r="A182" s="25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2.75" customHeight="1" s="27">
      <c r="A183" s="25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2.75" customHeight="1" s="27">
      <c r="A184" s="25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2.75" customHeight="1" s="27">
      <c r="A185" s="25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2.75" customHeight="1" s="27">
      <c r="A186" s="25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2.75" customHeight="1" s="27">
      <c r="A187" s="25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2.75" customHeight="1" s="27">
      <c r="A188" s="25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2.75" customHeight="1" s="27">
      <c r="A189" s="25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2.75" customHeight="1" s="27">
      <c r="A190" s="25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2.75" customHeight="1" s="27">
      <c r="A191" s="25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2.75" customHeight="1" s="27">
      <c r="A192" s="25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2.75" customHeight="1" s="27">
      <c r="A193" s="25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2.75" customHeight="1" s="27">
      <c r="A194" s="25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2.75" customHeight="1" s="27">
      <c r="A195" s="25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2.75" customHeight="1" s="27">
      <c r="A196" s="25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2.75" customHeight="1" s="27">
      <c r="A197" s="25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2.75" customHeight="1" s="27">
      <c r="A198" s="25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2.75" customHeight="1" s="27">
      <c r="A199" s="25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2.75" customHeight="1" s="27">
      <c r="A200" s="25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2.75" customHeight="1" s="27">
      <c r="A201" s="25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2.75" customHeight="1" s="27">
      <c r="A202" s="25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2.75" customHeight="1" s="27">
      <c r="A203" s="25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2.75" customHeight="1" s="27">
      <c r="A204" s="25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2.75" customHeight="1" s="27">
      <c r="A205" s="25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2.75" customHeight="1" s="27">
      <c r="A206" s="25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2.75" customHeight="1" s="27">
      <c r="A207" s="25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2.75" customHeight="1" s="27">
      <c r="A208" s="25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2.75" customHeight="1" s="27">
      <c r="A209" s="25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2.75" customHeight="1" s="27">
      <c r="A210" s="25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2.75" customHeight="1" s="27">
      <c r="A211" s="25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2.75" customHeight="1" s="27">
      <c r="A212" s="25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2.75" customHeight="1" s="27">
      <c r="A213" s="25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2.75" customHeight="1" s="27">
      <c r="A214" s="25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2.75" customHeight="1" s="27">
      <c r="A215" s="25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2.75" customHeight="1" s="27">
      <c r="A216" s="25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2.75" customHeight="1" s="27">
      <c r="A217" s="25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2.75" customHeight="1" s="27">
      <c r="A218" s="25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2.75" customHeight="1" s="27">
      <c r="A219" s="25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2.75" customHeight="1" s="27">
      <c r="A220" s="25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2.75" customHeight="1" s="27">
      <c r="A221" s="25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2.75" customHeight="1" s="27">
      <c r="A222" s="25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2.75" customHeight="1" s="27">
      <c r="A223" s="25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2.75" customHeight="1" s="27">
      <c r="A224" s="25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2.75" customHeight="1" s="27">
      <c r="A225" s="25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2.75" customHeight="1" s="27">
      <c r="A226" s="25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2.75" customHeight="1" s="27">
      <c r="A227" s="25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2.75" customHeight="1" s="27">
      <c r="A228" s="25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2.75" customHeight="1" s="27">
      <c r="A229" s="25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2.75" customHeight="1" s="27">
      <c r="A230" s="25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2.75" customHeight="1" s="27">
      <c r="A231" s="25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2.75" customHeight="1" s="27">
      <c r="A232" s="25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2.75" customHeight="1" s="27">
      <c r="A233" s="25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2.75" customHeight="1" s="27">
      <c r="A234" s="25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2.75" customHeight="1" s="27">
      <c r="A235" s="25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2.75" customHeight="1" s="27">
      <c r="A236" s="25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2.75" customHeight="1" s="27">
      <c r="A237" s="25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2.75" customHeight="1" s="27">
      <c r="A238" s="25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2.75" customHeight="1" s="27">
      <c r="A239" s="25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2.75" customHeight="1" s="27">
      <c r="A240" s="25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2.75" customHeight="1" s="27">
      <c r="A241" s="25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2.75" customHeight="1" s="27">
      <c r="A242" s="25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2.75" customHeight="1" s="27">
      <c r="A243" s="25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2.75" customHeight="1" s="27">
      <c r="A244" s="25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2.75" customHeight="1" s="27">
      <c r="A245" s="25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2.75" customHeight="1" s="27">
      <c r="A246" s="25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2.75" customHeight="1" s="27">
      <c r="A247" s="25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2.75" customHeight="1" s="27">
      <c r="A248" s="25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2.75" customHeight="1" s="27">
      <c r="A249" s="25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2.75" customHeight="1" s="27">
      <c r="A250" s="25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2.75" customHeight="1" s="27">
      <c r="A251" s="25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2.75" customHeight="1" s="27">
      <c r="A252" s="25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2.75" customHeight="1" s="27">
      <c r="A253" s="25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2.75" customHeight="1" s="27">
      <c r="A254" s="25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2.75" customHeight="1" s="27">
      <c r="A255" s="25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2.75" customHeight="1" s="27">
      <c r="A256" s="25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2.75" customHeight="1" s="27">
      <c r="A257" s="25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2.75" customHeight="1" s="27">
      <c r="A258" s="25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2.75" customHeight="1" s="27">
      <c r="A259" s="25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2.75" customHeight="1" s="27">
      <c r="A260" s="25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2.75" customHeight="1" s="27">
      <c r="A261" s="25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2.75" customHeight="1" s="27">
      <c r="A262" s="25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2.75" customHeight="1" s="27">
      <c r="A263" s="25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2.75" customHeight="1" s="27">
      <c r="A264" s="25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2.75" customHeight="1" s="27">
      <c r="A265" s="25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2.75" customHeight="1" s="27">
      <c r="A266" s="25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2.75" customHeight="1" s="27">
      <c r="A267" s="25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2.75" customHeight="1" s="27">
      <c r="A268" s="25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2.75" customHeight="1" s="27">
      <c r="A269" s="25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2.75" customHeight="1" s="27">
      <c r="A270" s="25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2.75" customHeight="1" s="27">
      <c r="A271" s="25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2.75" customHeight="1" s="27">
      <c r="A272" s="25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2.75" customHeight="1" s="27">
      <c r="A273" s="25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2.75" customHeight="1" s="27">
      <c r="A274" s="25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2.75" customHeight="1" s="27">
      <c r="A275" s="25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2.75" customHeight="1" s="27">
      <c r="A276" s="25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2.75" customHeight="1" s="27">
      <c r="A277" s="25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2.75" customHeight="1" s="27">
      <c r="A278" s="25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2.75" customHeight="1" s="27">
      <c r="A279" s="25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2.75" customHeight="1" s="27">
      <c r="A280" s="25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2.75" customHeight="1" s="27">
      <c r="A281" s="25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2.75" customHeight="1" s="27">
      <c r="A282" s="25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2.75" customHeight="1" s="27">
      <c r="A283" s="25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2.75" customHeight="1" s="27">
      <c r="A284" s="25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2.75" customHeight="1" s="27">
      <c r="A285" s="25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2.75" customHeight="1" s="27">
      <c r="A286" s="25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2.75" customHeight="1" s="27">
      <c r="A287" s="25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2.75" customHeight="1" s="27">
      <c r="A288" s="25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2.75" customHeight="1" s="27">
      <c r="A289" s="25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2.75" customHeight="1" s="27">
      <c r="A290" s="25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2.75" customHeight="1" s="27">
      <c r="A291" s="25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2.75" customHeight="1" s="27">
      <c r="A292" s="25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2.75" customHeight="1" s="27">
      <c r="A293" s="25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2.75" customHeight="1" s="27">
      <c r="A294" s="25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2.75" customHeight="1" s="27">
      <c r="A295" s="25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2.75" customHeight="1" s="27">
      <c r="A296" s="25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2.75" customHeight="1" s="27">
      <c r="A297" s="25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2.75" customHeight="1" s="27">
      <c r="A298" s="25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2.75" customHeight="1" s="27">
      <c r="A299" s="25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2.75" customHeight="1" s="27">
      <c r="A300" s="25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2.75" customHeight="1" s="27">
      <c r="A301" s="25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2.75" customHeight="1" s="27">
      <c r="A302" s="25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2.75" customHeight="1" s="27">
      <c r="A303" s="25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2.75" customHeight="1" s="27">
      <c r="A304" s="25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2.75" customHeight="1" s="27">
      <c r="A305" s="25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2.75" customHeight="1" s="27">
      <c r="A306" s="25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2.75" customHeight="1" s="27">
      <c r="A307" s="25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2.75" customHeight="1" s="27">
      <c r="A308" s="25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2.75" customHeight="1" s="27">
      <c r="A309" s="25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2.75" customHeight="1" s="27">
      <c r="A310" s="25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2.75" customHeight="1" s="27">
      <c r="A311" s="25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2.75" customHeight="1" s="27">
      <c r="A312" s="25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2.75" customHeight="1" s="27">
      <c r="A313" s="25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2.75" customHeight="1" s="27">
      <c r="A314" s="25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2.75" customHeight="1" s="27">
      <c r="A315" s="25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2.75" customHeight="1" s="27">
      <c r="A316" s="25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2.75" customHeight="1" s="27">
      <c r="A317" s="25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2.75" customHeight="1" s="27">
      <c r="A318" s="25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2.75" customHeight="1" s="27">
      <c r="A319" s="25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2.75" customHeight="1" s="27">
      <c r="A320" s="25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2.75" customHeight="1" s="27">
      <c r="A321" s="25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2.75" customHeight="1" s="27">
      <c r="A322" s="25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2.75" customHeight="1" s="27">
      <c r="A323" s="25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2.75" customHeight="1" s="27">
      <c r="A324" s="25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2.75" customHeight="1" s="27">
      <c r="A325" s="25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2.75" customHeight="1" s="27">
      <c r="A326" s="25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2.75" customHeight="1" s="27">
      <c r="A327" s="25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2.75" customHeight="1" s="27">
      <c r="A328" s="25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2.75" customHeight="1" s="27">
      <c r="A329" s="25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2.75" customHeight="1" s="27">
      <c r="A330" s="25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2.75" customHeight="1" s="27">
      <c r="A331" s="25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2.75" customHeight="1" s="27">
      <c r="A332" s="25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2.75" customHeight="1" s="27">
      <c r="A333" s="25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2.75" customHeight="1" s="27">
      <c r="A334" s="25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2.75" customHeight="1" s="27">
      <c r="A335" s="25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2.75" customHeight="1" s="27">
      <c r="A336" s="25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2.75" customHeight="1" s="27">
      <c r="A337" s="25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2.75" customHeight="1" s="27">
      <c r="A338" s="25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2.75" customHeight="1" s="27">
      <c r="A339" s="25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2.75" customHeight="1" s="27">
      <c r="A340" s="25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2.75" customHeight="1" s="27">
      <c r="A341" s="25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2.75" customHeight="1" s="27">
      <c r="A342" s="25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2.75" customHeight="1" s="27">
      <c r="A343" s="25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2.75" customHeight="1" s="27">
      <c r="A344" s="25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2.75" customHeight="1" s="27">
      <c r="A345" s="25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2.75" customHeight="1" s="27">
      <c r="A346" s="25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2.75" customHeight="1" s="27">
      <c r="A347" s="25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2.75" customHeight="1" s="27">
      <c r="A348" s="25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2.75" customHeight="1" s="27">
      <c r="A349" s="25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2.75" customHeight="1" s="27">
      <c r="A350" s="25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2.75" customHeight="1" s="27">
      <c r="A351" s="25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2.75" customHeight="1" s="27">
      <c r="A352" s="25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2.75" customHeight="1" s="27">
      <c r="A353" s="25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2.75" customHeight="1" s="27">
      <c r="A354" s="25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2.75" customHeight="1" s="27">
      <c r="A355" s="25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2.75" customHeight="1" s="27">
      <c r="A356" s="25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2.75" customHeight="1" s="27">
      <c r="A357" s="25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2.75" customHeight="1" s="27">
      <c r="A358" s="25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2.75" customHeight="1" s="27">
      <c r="A359" s="25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2.75" customHeight="1" s="27">
      <c r="A360" s="25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2.75" customHeight="1" s="27">
      <c r="A361" s="25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2.75" customHeight="1" s="27">
      <c r="A362" s="25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2.75" customHeight="1" s="27">
      <c r="A363" s="25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2.75" customHeight="1" s="27">
      <c r="A364" s="25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2.75" customHeight="1" s="27">
      <c r="A365" s="25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2.75" customHeight="1" s="27">
      <c r="A366" s="25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2.75" customHeight="1" s="27">
      <c r="A367" s="25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2.75" customHeight="1" s="27">
      <c r="A368" s="25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2.75" customHeight="1" s="27">
      <c r="A369" s="25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2.75" customHeight="1" s="27">
      <c r="A370" s="25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2.75" customHeight="1" s="27">
      <c r="A371" s="25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2.75" customHeight="1" s="27">
      <c r="A372" s="25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2.75" customHeight="1" s="27">
      <c r="A373" s="25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2.75" customHeight="1" s="27">
      <c r="A374" s="25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2.75" customHeight="1" s="27">
      <c r="A375" s="25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2.75" customHeight="1" s="27">
      <c r="A376" s="25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2.75" customHeight="1" s="27">
      <c r="A377" s="25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2.75" customHeight="1" s="27">
      <c r="A378" s="25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2.75" customHeight="1" s="27">
      <c r="A379" s="25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2.75" customHeight="1" s="27">
      <c r="A380" s="25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2.75" customHeight="1" s="27">
      <c r="A381" s="25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2.75" customHeight="1" s="27">
      <c r="A382" s="25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2.75" customHeight="1" s="27">
      <c r="A383" s="25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2.75" customHeight="1" s="27">
      <c r="A384" s="25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2.75" customHeight="1" s="27">
      <c r="A385" s="25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2.75" customHeight="1" s="27">
      <c r="A386" s="25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2.75" customHeight="1" s="27">
      <c r="A387" s="25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2.75" customHeight="1" s="27">
      <c r="A388" s="25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2.75" customHeight="1" s="27">
      <c r="A389" s="25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2.75" customHeight="1" s="27">
      <c r="A390" s="25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2.75" customHeight="1" s="27">
      <c r="A391" s="25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2.75" customHeight="1" s="27">
      <c r="A392" s="25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2.75" customHeight="1" s="27">
      <c r="A393" s="25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2.75" customHeight="1" s="27">
      <c r="A394" s="25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2.75" customHeight="1" s="27">
      <c r="A395" s="25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2.75" customHeight="1" s="27">
      <c r="A396" s="25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2.75" customHeight="1" s="27">
      <c r="A397" s="25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2.75" customHeight="1" s="27">
      <c r="A398" s="25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2.75" customHeight="1" s="27">
      <c r="A399" s="25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2.75" customHeight="1" s="27">
      <c r="A400" s="25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2.75" customHeight="1" s="27">
      <c r="A401" s="25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2.75" customHeight="1" s="27">
      <c r="A402" s="25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2.75" customHeight="1" s="27">
      <c r="A403" s="25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2.75" customHeight="1" s="27">
      <c r="A404" s="25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2.75" customHeight="1" s="27">
      <c r="A405" s="25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2.75" customHeight="1" s="27">
      <c r="A406" s="25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2.75" customHeight="1" s="27">
      <c r="A407" s="25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2.75" customHeight="1" s="27">
      <c r="A408" s="25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2.75" customHeight="1" s="27">
      <c r="A409" s="25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2.75" customHeight="1" s="27">
      <c r="A410" s="25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2.75" customHeight="1" s="27">
      <c r="A411" s="25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2.75" customHeight="1" s="27">
      <c r="A412" s="25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2.75" customHeight="1" s="27">
      <c r="A413" s="25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2.75" customHeight="1" s="27">
      <c r="A414" s="25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2.75" customHeight="1" s="27">
      <c r="A415" s="25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2.75" customHeight="1" s="27">
      <c r="A416" s="25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2.75" customHeight="1" s="27">
      <c r="A417" s="25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2.75" customHeight="1" s="27">
      <c r="A418" s="25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2.75" customHeight="1" s="27">
      <c r="A419" s="25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2.75" customHeight="1" s="27">
      <c r="A420" s="25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2.75" customHeight="1" s="27">
      <c r="A421" s="25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2.75" customHeight="1" s="27">
      <c r="A422" s="25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2.75" customHeight="1" s="27">
      <c r="A423" s="25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2.75" customHeight="1" s="27">
      <c r="A424" s="25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2.75" customHeight="1" s="27">
      <c r="A425" s="25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2.75" customHeight="1" s="27">
      <c r="A426" s="25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2.75" customHeight="1" s="27">
      <c r="A427" s="25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2.75" customHeight="1" s="27">
      <c r="A428" s="25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2.75" customHeight="1" s="27">
      <c r="A429" s="25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2.75" customHeight="1" s="27">
      <c r="A430" s="25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2.75" customHeight="1" s="27">
      <c r="A431" s="25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2.75" customHeight="1" s="27">
      <c r="A432" s="25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2.75" customHeight="1" s="27">
      <c r="A433" s="25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2.75" customHeight="1" s="27">
      <c r="A434" s="25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2.75" customHeight="1" s="27">
      <c r="A435" s="25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2.75" customHeight="1" s="27">
      <c r="A436" s="25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2.75" customHeight="1" s="27">
      <c r="A437" s="25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2.75" customHeight="1" s="27">
      <c r="A438" s="25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2.75" customHeight="1" s="27">
      <c r="A439" s="25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2.75" customHeight="1" s="27">
      <c r="A440" s="25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2.75" customHeight="1" s="27">
      <c r="A441" s="25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2.75" customHeight="1" s="27">
      <c r="A442" s="25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2.75" customHeight="1" s="27">
      <c r="A443" s="25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2.75" customHeight="1" s="27">
      <c r="A444" s="25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2.75" customHeight="1" s="27">
      <c r="A445" s="25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2.75" customHeight="1" s="27">
      <c r="A446" s="25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2.75" customHeight="1" s="27">
      <c r="A447" s="25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2.75" customHeight="1" s="27">
      <c r="A448" s="25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2.75" customHeight="1" s="27">
      <c r="A449" s="25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2.75" customHeight="1" s="27">
      <c r="A450" s="25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2.75" customHeight="1" s="27">
      <c r="A451" s="25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2.75" customHeight="1" s="27">
      <c r="A452" s="25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2.75" customHeight="1" s="27">
      <c r="A453" s="25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2.75" customHeight="1" s="27">
      <c r="A454" s="25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2.75" customHeight="1" s="27">
      <c r="A455" s="25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2.75" customHeight="1" s="27">
      <c r="A456" s="25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2.75" customHeight="1" s="27">
      <c r="A457" s="25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2.75" customHeight="1" s="27">
      <c r="A458" s="25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2.75" customHeight="1" s="27">
      <c r="A459" s="25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2.75" customHeight="1" s="27">
      <c r="A460" s="25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2.75" customHeight="1" s="27">
      <c r="A461" s="25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2.75" customHeight="1" s="27">
      <c r="A462" s="25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2.75" customHeight="1" s="27">
      <c r="A463" s="25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2.75" customHeight="1" s="27">
      <c r="A464" s="25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2.75" customHeight="1" s="27">
      <c r="A465" s="25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2.75" customHeight="1" s="27">
      <c r="A466" s="25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2.75" customHeight="1" s="27">
      <c r="A467" s="25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2.75" customHeight="1" s="27">
      <c r="A468" s="25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2.75" customHeight="1" s="27">
      <c r="A469" s="25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2.75" customHeight="1" s="27">
      <c r="A470" s="25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2.75" customHeight="1" s="27">
      <c r="A471" s="25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2.75" customHeight="1" s="27">
      <c r="A472" s="25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2.75" customHeight="1" s="27">
      <c r="A473" s="25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2.75" customHeight="1" s="27">
      <c r="A474" s="25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2.75" customHeight="1" s="27">
      <c r="A475" s="25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2.75" customHeight="1" s="27">
      <c r="A476" s="25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2.75" customHeight="1" s="27">
      <c r="A477" s="25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2.75" customHeight="1" s="27">
      <c r="A478" s="25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2.75" customHeight="1" s="27">
      <c r="A479" s="25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2.75" customHeight="1" s="27">
      <c r="A480" s="25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2.75" customHeight="1" s="27">
      <c r="A481" s="25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2.75" customHeight="1" s="27">
      <c r="A482" s="25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2.75" customHeight="1" s="27">
      <c r="A483" s="25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2.75" customHeight="1" s="27">
      <c r="A484" s="25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2.75" customHeight="1" s="27">
      <c r="A485" s="25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2.75" customHeight="1" s="27">
      <c r="A486" s="25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2.75" customHeight="1" s="27">
      <c r="A487" s="25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2.75" customHeight="1" s="27">
      <c r="A488" s="25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2.75" customHeight="1" s="27">
      <c r="A489" s="25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2.75" customHeight="1" s="27">
      <c r="A490" s="25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2.75" customHeight="1" s="27">
      <c r="A491" s="25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2.75" customHeight="1" s="27">
      <c r="A492" s="25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2.75" customHeight="1" s="27">
      <c r="A493" s="25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2.75" customHeight="1" s="27">
      <c r="A494" s="25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2.75" customHeight="1" s="27">
      <c r="A495" s="25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2.75" customHeight="1" s="27">
      <c r="A496" s="25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2.75" customHeight="1" s="27">
      <c r="A497" s="25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2.75" customHeight="1" s="27">
      <c r="A498" s="25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2.75" customHeight="1" s="27">
      <c r="A499" s="25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2.75" customHeight="1" s="27">
      <c r="A500" s="25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2.75" customHeight="1" s="27">
      <c r="A501" s="25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2.75" customHeight="1" s="27">
      <c r="A502" s="25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2.75" customHeight="1" s="27">
      <c r="A503" s="25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2.75" customHeight="1" s="27">
      <c r="A504" s="25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2.75" customHeight="1" s="27">
      <c r="A505" s="25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2.75" customHeight="1" s="27">
      <c r="A506" s="25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2.75" customHeight="1" s="27">
      <c r="A507" s="25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2.75" customHeight="1" s="27">
      <c r="A508" s="25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2.75" customHeight="1" s="27">
      <c r="A509" s="25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2.75" customHeight="1" s="27">
      <c r="A510" s="25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2.75" customHeight="1" s="27">
      <c r="A511" s="25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2.75" customHeight="1" s="27">
      <c r="A512" s="25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2.75" customHeight="1" s="27">
      <c r="A513" s="25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2.75" customHeight="1" s="27">
      <c r="A514" s="25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2.75" customHeight="1" s="27">
      <c r="A515" s="25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2.75" customHeight="1" s="27">
      <c r="A516" s="25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2.75" customHeight="1" s="27">
      <c r="A517" s="25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2.75" customHeight="1" s="27">
      <c r="A518" s="25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2.75" customHeight="1" s="27">
      <c r="A519" s="25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2.75" customHeight="1" s="27">
      <c r="A520" s="25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2.75" customHeight="1" s="27">
      <c r="A521" s="25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2.75" customHeight="1" s="27">
      <c r="A522" s="25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2.75" customHeight="1" s="27">
      <c r="A523" s="25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2.75" customHeight="1" s="27">
      <c r="A524" s="25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2.75" customHeight="1" s="27">
      <c r="A525" s="25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2.75" customHeight="1" s="27">
      <c r="A526" s="25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2.75" customHeight="1" s="27">
      <c r="A527" s="25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2.75" customHeight="1" s="27">
      <c r="A528" s="25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2.75" customHeight="1" s="27">
      <c r="A529" s="25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2.75" customHeight="1" s="27">
      <c r="A530" s="25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2.75" customHeight="1" s="27">
      <c r="A531" s="25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2.75" customHeight="1" s="27">
      <c r="A532" s="25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2.75" customHeight="1" s="27">
      <c r="A533" s="25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2.75" customHeight="1" s="27">
      <c r="A534" s="25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2.75" customHeight="1" s="27">
      <c r="A535" s="25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2.75" customHeight="1" s="27">
      <c r="A536" s="25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2.75" customHeight="1" s="27">
      <c r="A537" s="25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2.75" customHeight="1" s="27">
      <c r="A538" s="25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2.75" customHeight="1" s="27">
      <c r="A539" s="25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2.75" customHeight="1" s="27">
      <c r="A540" s="25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2.75" customHeight="1" s="27">
      <c r="A541" s="25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2.75" customHeight="1" s="27">
      <c r="A542" s="25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2.75" customHeight="1" s="27">
      <c r="A543" s="25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2.75" customHeight="1" s="27">
      <c r="A544" s="25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2.75" customHeight="1" s="27">
      <c r="A545" s="25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2.75" customHeight="1" s="27">
      <c r="A546" s="25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2.75" customHeight="1" s="27">
      <c r="A547" s="25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2.75" customHeight="1" s="27">
      <c r="A548" s="25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2.75" customHeight="1" s="27">
      <c r="A549" s="25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2.75" customHeight="1" s="27">
      <c r="A550" s="25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2.75" customHeight="1" s="27">
      <c r="A551" s="25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2.75" customHeight="1" s="27">
      <c r="A552" s="25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2.75" customHeight="1" s="27">
      <c r="A553" s="25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2.75" customHeight="1" s="27">
      <c r="A554" s="25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2.75" customHeight="1" s="27">
      <c r="A555" s="25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2.75" customHeight="1" s="27">
      <c r="A556" s="25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2.75" customHeight="1" s="27">
      <c r="A557" s="25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2.75" customHeight="1" s="27">
      <c r="A558" s="25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2.75" customHeight="1" s="27">
      <c r="A559" s="25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2.75" customHeight="1" s="27">
      <c r="A560" s="25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2.75" customHeight="1" s="27">
      <c r="A561" s="25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2.75" customHeight="1" s="27">
      <c r="A562" s="25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2.75" customHeight="1" s="27">
      <c r="A563" s="25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2.75" customHeight="1" s="27">
      <c r="A564" s="25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2.75" customHeight="1" s="27">
      <c r="A565" s="25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2.75" customHeight="1" s="27">
      <c r="A566" s="25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2.75" customHeight="1" s="27">
      <c r="A567" s="25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2.75" customHeight="1" s="27">
      <c r="A568" s="25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2.75" customHeight="1" s="27">
      <c r="A569" s="25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2.75" customHeight="1" s="27">
      <c r="A570" s="25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2.75" customHeight="1" s="27">
      <c r="A571" s="25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2.75" customHeight="1" s="27">
      <c r="A572" s="25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2.75" customHeight="1" s="27">
      <c r="A573" s="25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2.75" customHeight="1" s="27">
      <c r="A574" s="25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2.75" customHeight="1" s="27">
      <c r="A575" s="25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2.75" customHeight="1" s="27">
      <c r="A576" s="25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2.75" customHeight="1" s="27">
      <c r="A577" s="25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2.75" customHeight="1" s="27">
      <c r="A578" s="25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2.75" customHeight="1" s="27">
      <c r="A579" s="25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2.75" customHeight="1" s="27">
      <c r="A580" s="25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2.75" customHeight="1" s="27">
      <c r="A581" s="25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2.75" customHeight="1" s="27">
      <c r="A582" s="25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2.75" customHeight="1" s="27">
      <c r="A583" s="25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2.75" customHeight="1" s="27">
      <c r="A584" s="25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2.75" customHeight="1" s="27">
      <c r="A585" s="25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2.75" customHeight="1" s="27">
      <c r="A586" s="25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2.75" customHeight="1" s="27">
      <c r="A587" s="25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2.75" customHeight="1" s="27">
      <c r="A588" s="25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2.75" customHeight="1" s="27">
      <c r="A589" s="25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2.75" customHeight="1" s="27">
      <c r="A590" s="25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2.75" customHeight="1" s="27">
      <c r="A591" s="25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2.75" customHeight="1" s="27">
      <c r="A592" s="25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2.75" customHeight="1" s="27">
      <c r="A593" s="25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2.75" customHeight="1" s="27">
      <c r="A594" s="25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2.75" customHeight="1" s="27">
      <c r="A595" s="25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2.75" customHeight="1" s="27">
      <c r="A596" s="25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2.75" customHeight="1" s="27">
      <c r="A597" s="25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2.75" customHeight="1" s="27">
      <c r="A598" s="25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2.75" customHeight="1" s="27">
      <c r="A599" s="25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2.75" customHeight="1" s="27">
      <c r="A600" s="25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2.75" customHeight="1" s="27">
      <c r="A601" s="25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2.75" customHeight="1" s="27">
      <c r="A602" s="25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2.75" customHeight="1" s="27">
      <c r="A603" s="25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2.75" customHeight="1" s="27">
      <c r="A604" s="25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2.75" customHeight="1" s="27">
      <c r="A605" s="25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2.75" customHeight="1" s="27">
      <c r="A606" s="25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2.75" customHeight="1" s="27">
      <c r="A607" s="25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2.75" customHeight="1" s="27">
      <c r="A608" s="25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2.75" customHeight="1" s="27">
      <c r="A609" s="25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2.75" customHeight="1" s="27">
      <c r="A610" s="25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2.75" customHeight="1" s="27">
      <c r="A611" s="25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2.75" customHeight="1" s="27">
      <c r="A612" s="25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2.75" customHeight="1" s="27">
      <c r="A613" s="25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2.75" customHeight="1" s="27">
      <c r="A614" s="25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2.75" customHeight="1" s="27">
      <c r="A615" s="25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2.75" customHeight="1" s="27">
      <c r="A616" s="25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2.75" customHeight="1" s="27">
      <c r="A617" s="25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2.75" customHeight="1" s="27">
      <c r="A618" s="25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2.75" customHeight="1" s="27">
      <c r="A619" s="25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2.75" customHeight="1" s="27">
      <c r="A620" s="25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2.75" customHeight="1" s="27">
      <c r="A621" s="25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2.75" customHeight="1" s="27">
      <c r="A622" s="25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2.75" customHeight="1" s="27">
      <c r="A623" s="25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2.75" customHeight="1" s="27">
      <c r="A624" s="25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2.75" customHeight="1" s="27">
      <c r="A625" s="25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2.75" customHeight="1" s="27">
      <c r="A626" s="25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2.75" customHeight="1" s="27">
      <c r="A627" s="25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2.75" customHeight="1" s="27">
      <c r="A628" s="25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2.75" customHeight="1" s="27">
      <c r="A629" s="25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2.75" customHeight="1" s="27">
      <c r="A630" s="25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2.75" customHeight="1" s="27">
      <c r="A631" s="25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2.75" customHeight="1" s="27">
      <c r="A632" s="25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2.75" customHeight="1" s="27">
      <c r="A633" s="25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2.75" customHeight="1" s="27">
      <c r="A634" s="25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2.75" customHeight="1" s="27">
      <c r="A635" s="25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2.75" customHeight="1" s="27">
      <c r="A636" s="25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2.75" customHeight="1" s="27">
      <c r="A637" s="25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2.75" customHeight="1" s="27">
      <c r="A638" s="25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2.75" customHeight="1" s="27">
      <c r="A639" s="25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2.75" customHeight="1" s="27">
      <c r="A640" s="25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2.75" customHeight="1" s="27">
      <c r="A641" s="25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2.75" customHeight="1" s="27">
      <c r="A642" s="25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2.75" customHeight="1" s="27">
      <c r="A643" s="25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2.75" customHeight="1" s="27">
      <c r="A644" s="25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2.75" customHeight="1" s="27">
      <c r="A645" s="25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2.75" customHeight="1" s="27">
      <c r="A646" s="25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2.75" customHeight="1" s="27">
      <c r="A647" s="25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2.75" customHeight="1" s="27">
      <c r="A648" s="25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2.75" customHeight="1" s="27">
      <c r="A649" s="25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2.75" customHeight="1" s="27">
      <c r="A650" s="25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2.75" customHeight="1" s="27">
      <c r="A651" s="25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2.75" customHeight="1" s="27">
      <c r="A652" s="25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2.75" customHeight="1" s="27">
      <c r="A653" s="25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2.75" customHeight="1" s="27">
      <c r="A654" s="25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2.75" customHeight="1" s="27">
      <c r="A655" s="25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2.75" customHeight="1" s="27">
      <c r="A656" s="25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2.75" customHeight="1" s="27">
      <c r="A657" s="25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2.75" customHeight="1" s="27">
      <c r="A658" s="25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2.75" customHeight="1" s="27">
      <c r="A659" s="25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2.75" customHeight="1" s="27">
      <c r="A660" s="25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2.75" customHeight="1" s="27">
      <c r="A661" s="25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2.75" customHeight="1" s="27">
      <c r="A662" s="25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2.75" customHeight="1" s="27">
      <c r="A663" s="25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2.75" customHeight="1" s="27">
      <c r="A664" s="25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2.75" customHeight="1" s="27">
      <c r="A665" s="25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2.75" customHeight="1" s="27">
      <c r="A666" s="25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2.75" customHeight="1" s="27">
      <c r="A667" s="25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2.75" customHeight="1" s="27">
      <c r="A668" s="25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2.75" customHeight="1" s="27">
      <c r="A669" s="25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2.75" customHeight="1" s="27">
      <c r="A670" s="25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2.75" customHeight="1" s="27">
      <c r="A671" s="25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2.75" customHeight="1" s="27">
      <c r="A672" s="25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2.75" customHeight="1" s="27">
      <c r="A673" s="25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2.75" customHeight="1" s="27">
      <c r="A674" s="25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2.75" customHeight="1" s="27">
      <c r="A675" s="25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2.75" customHeight="1" s="27">
      <c r="A676" s="25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2.75" customHeight="1" s="27">
      <c r="A677" s="25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2.75" customHeight="1" s="27">
      <c r="A678" s="25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2.75" customHeight="1" s="27">
      <c r="A679" s="25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2.75" customHeight="1" s="27">
      <c r="A680" s="25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2.75" customHeight="1" s="27">
      <c r="A681" s="25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2.75" customHeight="1" s="27">
      <c r="A682" s="25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2.75" customHeight="1" s="27">
      <c r="A683" s="25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2.75" customHeight="1" s="27">
      <c r="A684" s="25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2.75" customHeight="1" s="27">
      <c r="A685" s="25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2.75" customHeight="1" s="27">
      <c r="A686" s="25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2.75" customHeight="1" s="27">
      <c r="A687" s="25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2.75" customHeight="1" s="27">
      <c r="A688" s="25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2.75" customHeight="1" s="27">
      <c r="A689" s="25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2.75" customHeight="1" s="27">
      <c r="A690" s="25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2.75" customHeight="1" s="27">
      <c r="A691" s="25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2.75" customHeight="1" s="27">
      <c r="A692" s="25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2.75" customHeight="1" s="27">
      <c r="A693" s="25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2.75" customHeight="1" s="27">
      <c r="A694" s="25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2.75" customHeight="1" s="27">
      <c r="A695" s="25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2.75" customHeight="1" s="27">
      <c r="A696" s="25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2.75" customHeight="1" s="27">
      <c r="A697" s="25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2.75" customHeight="1" s="27">
      <c r="A698" s="25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2.75" customHeight="1" s="27">
      <c r="A699" s="25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2.75" customHeight="1" s="27">
      <c r="A700" s="25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2.75" customHeight="1" s="27">
      <c r="A701" s="25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2.75" customHeight="1" s="27">
      <c r="A702" s="25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2.75" customHeight="1" s="27">
      <c r="A703" s="25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2.75" customHeight="1" s="27">
      <c r="A704" s="25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2.75" customHeight="1" s="27">
      <c r="A705" s="25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2.75" customHeight="1" s="27">
      <c r="A706" s="25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2.75" customHeight="1" s="27">
      <c r="A707" s="25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2.75" customHeight="1" s="27">
      <c r="A708" s="25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2.75" customHeight="1" s="27">
      <c r="A709" s="25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2.75" customHeight="1" s="27">
      <c r="A710" s="25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2.75" customHeight="1" s="27">
      <c r="A711" s="25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2.75" customHeight="1" s="27">
      <c r="A712" s="25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2.75" customHeight="1" s="27">
      <c r="A713" s="25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2.75" customHeight="1" s="27">
      <c r="A714" s="25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2.75" customHeight="1" s="27">
      <c r="A715" s="25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2.75" customHeight="1" s="27">
      <c r="A716" s="25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2.75" customHeight="1" s="27">
      <c r="A717" s="25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2.75" customHeight="1" s="27">
      <c r="A718" s="25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2.75" customHeight="1" s="27">
      <c r="A719" s="25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2.75" customHeight="1" s="27">
      <c r="A720" s="25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2.75" customHeight="1" s="27">
      <c r="A721" s="25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2.75" customHeight="1" s="27">
      <c r="A722" s="25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2.75" customHeight="1" s="27">
      <c r="A723" s="25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2.75" customHeight="1" s="27">
      <c r="A724" s="25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2.75" customHeight="1" s="27">
      <c r="A725" s="25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2.75" customHeight="1" s="27">
      <c r="A726" s="25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2.75" customHeight="1" s="27">
      <c r="A727" s="25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2.75" customHeight="1" s="27">
      <c r="A728" s="25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2.75" customHeight="1" s="27">
      <c r="A729" s="25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2.75" customHeight="1" s="27">
      <c r="A730" s="25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2.75" customHeight="1" s="27">
      <c r="A731" s="25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2.75" customHeight="1" s="27">
      <c r="A732" s="25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2.75" customHeight="1" s="27">
      <c r="A733" s="25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2.75" customHeight="1" s="27">
      <c r="A734" s="25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2.75" customHeight="1" s="27">
      <c r="A735" s="25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2.75" customHeight="1" s="27">
      <c r="A736" s="25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2.75" customHeight="1" s="27">
      <c r="A737" s="25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2.75" customHeight="1" s="27">
      <c r="A738" s="25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2.75" customHeight="1" s="27">
      <c r="A739" s="25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2.75" customHeight="1" s="27">
      <c r="A740" s="25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2.75" customHeight="1" s="27">
      <c r="A741" s="25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2.75" customHeight="1" s="27">
      <c r="A742" s="25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2.75" customHeight="1" s="27">
      <c r="A743" s="25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2.75" customHeight="1" s="27">
      <c r="A744" s="25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2.75" customHeight="1" s="27">
      <c r="A745" s="25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2.75" customHeight="1" s="27">
      <c r="A746" s="25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2.75" customHeight="1" s="27">
      <c r="A747" s="25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2.75" customHeight="1" s="27">
      <c r="A748" s="25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2.75" customHeight="1" s="27">
      <c r="A749" s="25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2.75" customHeight="1" s="27">
      <c r="A750" s="25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2.75" customHeight="1" s="27">
      <c r="A751" s="25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2.75" customHeight="1" s="27">
      <c r="A752" s="25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2.75" customHeight="1" s="27">
      <c r="A753" s="25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2.75" customHeight="1" s="27">
      <c r="A754" s="25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2.75" customHeight="1" s="27">
      <c r="A755" s="25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2.75" customHeight="1" s="27">
      <c r="A756" s="25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2.75" customHeight="1" s="27">
      <c r="A757" s="25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2.75" customHeight="1" s="27">
      <c r="A758" s="25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2.75" customHeight="1" s="27">
      <c r="A759" s="25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2.75" customHeight="1" s="27">
      <c r="A760" s="25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2.75" customHeight="1" s="27">
      <c r="A761" s="25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2.75" customHeight="1" s="27">
      <c r="A762" s="25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2.75" customHeight="1" s="27">
      <c r="A763" s="25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2.75" customHeight="1" s="27">
      <c r="A764" s="25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2.75" customHeight="1" s="27">
      <c r="A765" s="25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2.75" customHeight="1" s="27">
      <c r="A766" s="25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2.75" customHeight="1" s="27">
      <c r="A767" s="25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2.75" customHeight="1" s="27">
      <c r="A768" s="25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2.75" customHeight="1" s="27">
      <c r="A769" s="25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2.75" customHeight="1" s="27">
      <c r="A770" s="25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2.75" customHeight="1" s="27">
      <c r="A771" s="25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2.75" customHeight="1" s="27">
      <c r="A772" s="25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2.75" customHeight="1" s="27">
      <c r="A773" s="25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2.75" customHeight="1" s="27">
      <c r="A774" s="25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2.75" customHeight="1" s="27">
      <c r="A775" s="25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2.75" customHeight="1" s="27">
      <c r="A776" s="25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2.75" customHeight="1" s="27">
      <c r="A777" s="25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2.75" customHeight="1" s="27">
      <c r="A778" s="25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2.75" customHeight="1" s="27">
      <c r="A779" s="25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2.75" customHeight="1" s="27">
      <c r="A780" s="25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2.75" customHeight="1" s="27">
      <c r="A781" s="25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2.75" customHeight="1" s="27">
      <c r="A782" s="25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2.75" customHeight="1" s="27">
      <c r="A783" s="25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2.75" customHeight="1" s="27">
      <c r="A784" s="25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2.75" customHeight="1" s="27">
      <c r="A785" s="25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2.75" customHeight="1" s="27">
      <c r="A786" s="25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2.75" customHeight="1" s="27">
      <c r="A787" s="25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2.75" customHeight="1" s="27">
      <c r="A788" s="25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2.75" customHeight="1" s="27">
      <c r="A789" s="25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2.75" customHeight="1" s="27">
      <c r="A790" s="25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2.75" customHeight="1" s="27">
      <c r="A791" s="25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2.75" customHeight="1" s="27">
      <c r="A792" s="25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2.75" customHeight="1" s="27">
      <c r="A793" s="25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2.75" customHeight="1" s="27">
      <c r="A794" s="25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2.75" customHeight="1" s="27">
      <c r="A795" s="25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2.75" customHeight="1" s="27">
      <c r="A796" s="25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2.75" customHeight="1" s="27">
      <c r="A797" s="25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2.75" customHeight="1" s="27">
      <c r="A798" s="25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2.75" customHeight="1" s="27">
      <c r="A799" s="25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2.75" customHeight="1" s="27">
      <c r="A800" s="25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2.75" customHeight="1" s="27">
      <c r="A801" s="25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2.75" customHeight="1" s="27">
      <c r="A802" s="25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2.75" customHeight="1" s="27">
      <c r="A803" s="25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2.75" customHeight="1" s="27">
      <c r="A804" s="25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2.75" customHeight="1" s="27">
      <c r="A805" s="25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2.75" customHeight="1" s="27">
      <c r="A806" s="25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2.75" customHeight="1" s="27">
      <c r="A807" s="25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2.75" customHeight="1" s="27">
      <c r="A808" s="25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2.75" customHeight="1" s="27">
      <c r="A809" s="25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2.75" customHeight="1" s="27">
      <c r="A810" s="25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2.75" customHeight="1" s="27">
      <c r="A811" s="25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2.75" customHeight="1" s="27">
      <c r="A812" s="25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2.75" customHeight="1" s="27">
      <c r="A813" s="25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2.75" customHeight="1" s="27">
      <c r="A814" s="25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2.75" customHeight="1" s="27">
      <c r="A815" s="25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2.75" customHeight="1" s="27">
      <c r="A816" s="25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2.75" customHeight="1" s="27">
      <c r="A817" s="25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2.75" customHeight="1" s="27">
      <c r="A818" s="25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2.75" customHeight="1" s="27">
      <c r="A819" s="25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2.75" customHeight="1" s="27">
      <c r="A820" s="25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2.75" customHeight="1" s="27">
      <c r="A821" s="25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2.75" customHeight="1" s="27">
      <c r="A822" s="25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2.75" customHeight="1" s="27">
      <c r="A823" s="25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2.75" customHeight="1" s="27">
      <c r="A824" s="25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2.75" customHeight="1" s="27">
      <c r="A825" s="25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2.75" customHeight="1" s="27">
      <c r="A826" s="25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2.75" customHeight="1" s="27">
      <c r="A827" s="25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2.75" customHeight="1" s="27">
      <c r="A828" s="25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2.75" customHeight="1" s="27">
      <c r="A829" s="25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2.75" customHeight="1" s="27">
      <c r="A830" s="25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2.75" customHeight="1" s="27">
      <c r="A831" s="25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2.75" customHeight="1" s="27">
      <c r="A832" s="25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2.75" customHeight="1" s="27">
      <c r="A833" s="25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2.75" customHeight="1" s="27">
      <c r="A834" s="25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2.75" customHeight="1" s="27">
      <c r="A835" s="25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2.75" customHeight="1" s="27">
      <c r="A836" s="25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2.75" customHeight="1" s="27">
      <c r="A837" s="25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2.75" customHeight="1" s="27">
      <c r="A838" s="25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2.75" customHeight="1" s="27">
      <c r="A839" s="25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2.75" customHeight="1" s="27">
      <c r="A840" s="25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2.75" customHeight="1" s="27">
      <c r="A841" s="25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2.75" customHeight="1" s="27">
      <c r="A842" s="25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2.75" customHeight="1" s="27">
      <c r="A843" s="25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2.75" customHeight="1" s="27">
      <c r="A844" s="25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2.75" customHeight="1" s="27">
      <c r="A845" s="25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2.75" customHeight="1" s="27">
      <c r="A846" s="25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2.75" customHeight="1" s="27">
      <c r="A847" s="25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2.75" customHeight="1" s="27">
      <c r="A848" s="25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2.75" customHeight="1" s="27">
      <c r="A849" s="25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2.75" customHeight="1" s="27">
      <c r="A850" s="25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2.75" customHeight="1" s="27">
      <c r="A851" s="25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2.75" customHeight="1" s="27">
      <c r="A852" s="25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2.75" customHeight="1" s="27">
      <c r="A853" s="25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2.75" customHeight="1" s="27">
      <c r="A854" s="25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2.75" customHeight="1" s="27">
      <c r="A855" s="25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2.75" customHeight="1" s="27">
      <c r="A856" s="25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2.75" customHeight="1" s="27">
      <c r="A857" s="25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2.75" customHeight="1" s="27">
      <c r="A858" s="25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2.75" customHeight="1" s="27">
      <c r="A859" s="25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2.75" customHeight="1" s="27">
      <c r="A860" s="25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2.75" customHeight="1" s="27">
      <c r="A861" s="25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2.75" customHeight="1" s="27">
      <c r="A862" s="25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2.75" customHeight="1" s="27">
      <c r="A863" s="25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2.75" customHeight="1" s="27">
      <c r="A864" s="25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2.75" customHeight="1" s="27">
      <c r="A865" s="25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2.75" customHeight="1" s="27">
      <c r="A866" s="25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2.75" customHeight="1" s="27">
      <c r="A867" s="25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2.75" customHeight="1" s="27">
      <c r="A868" s="25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2.75" customHeight="1" s="27">
      <c r="A869" s="25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2.75" customHeight="1" s="27">
      <c r="A870" s="25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2.75" customHeight="1" s="27">
      <c r="A871" s="25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2.75" customHeight="1" s="27">
      <c r="A872" s="25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2.75" customHeight="1" s="27">
      <c r="A873" s="25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2.75" customHeight="1" s="27">
      <c r="A874" s="25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2.75" customHeight="1" s="27">
      <c r="A875" s="25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2.75" customHeight="1" s="27">
      <c r="A876" s="25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2.75" customHeight="1" s="27">
      <c r="A877" s="25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2.75" customHeight="1" s="27">
      <c r="A878" s="25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2.75" customHeight="1" s="27">
      <c r="A879" s="25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2.75" customHeight="1" s="27">
      <c r="A880" s="25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2.75" customHeight="1" s="27">
      <c r="A881" s="25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2.75" customHeight="1" s="27">
      <c r="A882" s="25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2.75" customHeight="1" s="27">
      <c r="A883" s="25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2.75" customHeight="1" s="27">
      <c r="A884" s="25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2.75" customHeight="1" s="27">
      <c r="A885" s="25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2.75" customHeight="1" s="27">
      <c r="A886" s="25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2.75" customHeight="1" s="27">
      <c r="A887" s="25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2.75" customHeight="1" s="27">
      <c r="A888" s="25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2.75" customHeight="1" s="27">
      <c r="A889" s="25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2.75" customHeight="1" s="27">
      <c r="A890" s="25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2.75" customHeight="1" s="27">
      <c r="A891" s="25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2.75" customHeight="1" s="27">
      <c r="A892" s="25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2.75" customHeight="1" s="27">
      <c r="A893" s="25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2.75" customHeight="1" s="27">
      <c r="A894" s="25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2.75" customHeight="1" s="27">
      <c r="A895" s="25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2.75" customHeight="1" s="27">
      <c r="A896" s="25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2.75" customHeight="1" s="27">
      <c r="A897" s="25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2.75" customHeight="1" s="27">
      <c r="A898" s="25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2.75" customHeight="1" s="27">
      <c r="A899" s="25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2.75" customHeight="1" s="27">
      <c r="A900" s="25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2.75" customHeight="1" s="27">
      <c r="A901" s="25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2.75" customHeight="1" s="27">
      <c r="A902" s="25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2.75" customHeight="1" s="27">
      <c r="A903" s="25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2.75" customHeight="1" s="27">
      <c r="A904" s="25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2.75" customHeight="1" s="27">
      <c r="A905" s="25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2.75" customHeight="1" s="27">
      <c r="A906" s="25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2.75" customHeight="1" s="27">
      <c r="A907" s="25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2.75" customHeight="1" s="27">
      <c r="A908" s="25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2.75" customHeight="1" s="27">
      <c r="A909" s="25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2.75" customHeight="1" s="27">
      <c r="A910" s="25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2.75" customHeight="1" s="27">
      <c r="A911" s="25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2.75" customHeight="1" s="27">
      <c r="A912" s="25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2.75" customHeight="1" s="27">
      <c r="A913" s="25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2.75" customHeight="1" s="27">
      <c r="A914" s="25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2.75" customHeight="1" s="27">
      <c r="A915" s="25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2.75" customHeight="1" s="27">
      <c r="A916" s="25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2.75" customHeight="1" s="27">
      <c r="A917" s="25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</sheetData>
  <dataValidations count="3">
    <dataValidation sqref="L5:L31" showDropDown="0" showInputMessage="0" showErrorMessage="1" allowBlank="1" type="list">
      <formula1>"Simple,Medium,Complex"</formula1>
    </dataValidation>
    <dataValidation sqref="M5:M31" showDropDown="0" showInputMessage="0" showErrorMessage="1" allowBlank="1" type="list">
      <formula1>"Low,Medium,High"</formula1>
    </dataValidation>
    <dataValidation sqref="F5:F31" showDropDown="0" showInputMessage="0" showErrorMessage="1" allowBlank="1" type="list">
      <formula1>"To Do,Doing,Done"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Right="0"/>
    <pageSetUpPr/>
  </sheetPr>
  <dimension ref="A1:Z91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1.22" defaultRowHeight="15" customHeight="1"/>
  <cols>
    <col width="3" customWidth="1" style="27" min="1" max="1"/>
    <col width="20.11" customWidth="1" style="27" min="2" max="2"/>
    <col width="13.22" customWidth="1" style="27" min="3" max="3"/>
    <col outlineLevel="1" width="34.22" customWidth="1" style="27" min="4" max="4"/>
    <col width="15" customWidth="1" style="27" min="5" max="5"/>
    <col width="9.220000000000001" customWidth="1" style="27" min="6" max="6"/>
    <col width="5.33" customWidth="1" style="27" min="7" max="7"/>
    <col collapsed="1" width="5.89" customWidth="1" style="27" min="8" max="8"/>
    <col hidden="1" outlineLevel="1" width="44.11" customWidth="1" style="27" min="9" max="9"/>
    <col width="5.67" customWidth="1" style="27" min="10" max="10"/>
    <col outlineLevel="1" width="18.11" customWidth="1" style="27" min="11" max="11"/>
    <col outlineLevel="1" width="9.67" customWidth="1" style="27" min="12" max="13"/>
    <col width="9.44" customWidth="1" style="27" min="14" max="26"/>
  </cols>
  <sheetData>
    <row r="1" ht="18" customHeight="1" s="27">
      <c r="A1" s="26" t="inlineStr">
        <is>
          <t>LOC Evaluation for OrcaXCare (Iteration 3)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5" customHeight="1" s="27">
      <c r="A2" s="4" t="inlineStr">
        <is>
          <t>Main scope (Iteration 3): Clinical operations - Queue (session, ticket, call next, waiting-room board); EMR (encounters, diagnoses, sign-off); Medical imaging; E-prescription &amp; pharmacy inventory; Favorites &amp; doctor reviews; Notification preferences &amp; inbox.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5" customHeight="1" s="27">
      <c r="A3" s="4" t="inlineStr">
        <is>
          <t>Sprint outcome: Doctor runs queue and documents visits in EMR. Prescriptions and imaging attach to encounters. Admin manages medicine stock. Patient receives in-app notifications and can favorite doctors and submit reviews after visits.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2.75" customHeight="1" s="27">
      <c r="A4" s="5" t="inlineStr">
        <is>
          <t>#</t>
        </is>
      </c>
      <c r="B4" s="6" t="inlineStr">
        <is>
          <t>Screen / Function</t>
        </is>
      </c>
      <c r="C4" s="6" t="inlineStr">
        <is>
          <t>Feature</t>
        </is>
      </c>
      <c r="D4" s="6" t="inlineStr">
        <is>
          <t>Screen/Function Description</t>
        </is>
      </c>
      <c r="E4" s="6" t="inlineStr">
        <is>
          <t>In Charge</t>
        </is>
      </c>
      <c r="F4" s="6" t="inlineStr">
        <is>
          <t>Status</t>
        </is>
      </c>
      <c r="G4" s="7" t="inlineStr">
        <is>
          <t>SRS</t>
        </is>
      </c>
      <c r="H4" s="7" t="inlineStr">
        <is>
          <t>SDS</t>
        </is>
      </c>
      <c r="I4" s="6" t="inlineStr">
        <is>
          <t>Notes</t>
        </is>
      </c>
      <c r="J4" s="8" t="inlineStr">
        <is>
          <t>LOC</t>
        </is>
      </c>
      <c r="K4" s="8" t="inlineStr">
        <is>
          <t>Code Demo Comments</t>
        </is>
      </c>
      <c r="L4" s="8" t="inlineStr">
        <is>
          <t>Complexity</t>
        </is>
      </c>
      <c r="M4" s="8" t="inlineStr">
        <is>
          <t>Quality</t>
        </is>
      </c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2.75" customHeight="1" s="27">
      <c r="A5" s="9">
        <f>ROW()-4</f>
        <v/>
      </c>
      <c r="B5" s="14" t="inlineStr">
        <is>
          <t>Upload Insurance Card Image (OCR)</t>
        </is>
      </c>
      <c r="C5" s="14" t="inlineStr">
        <is>
          <t>Health Insurance</t>
        </is>
      </c>
      <c r="D5" s="16" t="inlineStr">
        <is>
          <t>Upload image; OCR stub fills policy number. Manual override allowed.</t>
        </is>
      </c>
      <c r="E5" s="13" t="inlineStr">
        <is>
          <t>ThangDQCE182036</t>
        </is>
      </c>
      <c r="F5" s="14" t="inlineStr">
        <is>
          <t>To Do</t>
        </is>
      </c>
      <c r="G5" s="13" t="n"/>
      <c r="H5" s="13" t="n"/>
      <c r="I5" s="14" t="n"/>
      <c r="J5" s="15">
        <f>IF(L5="Simple",60,IF(L5="Medium",120,240))*IF(M5="Low",50%,IF(M5="Medium",75%,100%))</f>
        <v/>
      </c>
      <c r="K5" s="13" t="n"/>
      <c r="L5" s="13" t="inlineStr">
        <is>
          <t>Simple</t>
        </is>
      </c>
      <c r="M5" s="13" t="inlineStr">
        <is>
          <t>High</t>
        </is>
      </c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2.75" customHeight="1" s="27">
      <c r="A6" s="9">
        <f>ROW()-4</f>
        <v/>
      </c>
      <c r="B6" s="14" t="inlineStr">
        <is>
          <t>Start Consultation from Appointment</t>
        </is>
      </c>
      <c r="C6" s="14" t="inlineStr">
        <is>
          <t>Clinical Visit</t>
        </is>
      </c>
      <c r="D6" s="16" t="inlineStr">
        <is>
          <t>Button on appointment creates/opens encounter. Only for checked-in appointments.</t>
        </is>
      </c>
      <c r="E6" s="13" t="inlineStr">
        <is>
          <t>TanhNTCE182341</t>
        </is>
      </c>
      <c r="F6" s="14" t="inlineStr">
        <is>
          <t>To Do</t>
        </is>
      </c>
      <c r="G6" s="13" t="n"/>
      <c r="H6" s="13" t="n"/>
      <c r="I6" s="14" t="n"/>
      <c r="J6" s="15">
        <f>IF(L6="Simple",60,IF(L6="Medium",120,240))*IF(M6="Low",50%,IF(M6="Medium",75%,100%))</f>
        <v/>
      </c>
      <c r="K6" s="13" t="n"/>
      <c r="L6" s="13" t="inlineStr">
        <is>
          <t>Simple</t>
        </is>
      </c>
      <c r="M6" s="13" t="inlineStr">
        <is>
          <t>High</t>
        </is>
      </c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2.75" customHeight="1" s="27">
      <c r="A7" s="9">
        <f>ROW()-4</f>
        <v/>
      </c>
      <c r="B7" s="14" t="inlineStr">
        <is>
          <t>Open Queue Session</t>
        </is>
      </c>
      <c r="C7" s="14" t="inlineStr">
        <is>
          <t>Queue Management</t>
        </is>
      </c>
      <c r="D7" s="16" t="inlineStr">
        <is>
          <t>Doctor opens session for department/room. Patients can take tickets.</t>
        </is>
      </c>
      <c r="E7" s="13" t="inlineStr">
        <is>
          <t>TruongNTCE180140</t>
        </is>
      </c>
      <c r="F7" s="14" t="inlineStr">
        <is>
          <t>To Do</t>
        </is>
      </c>
      <c r="G7" s="13" t="n"/>
      <c r="H7" s="13" t="n"/>
      <c r="I7" s="14" t="n"/>
      <c r="J7" s="15">
        <f>IF(L7="Simple",60,IF(L7="Medium",120,240))*IF(M7="Low",50%,IF(M7="Medium",75%,100%))</f>
        <v/>
      </c>
      <c r="K7" s="13" t="n"/>
      <c r="L7" s="13" t="inlineStr">
        <is>
          <t>Simple</t>
        </is>
      </c>
      <c r="M7" s="13" t="inlineStr">
        <is>
          <t>High</t>
        </is>
      </c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2.75" customHeight="1" s="27">
      <c r="A8" s="9">
        <f>ROW()-4</f>
        <v/>
      </c>
      <c r="B8" s="13" t="inlineStr">
        <is>
          <t>Issue Queue Ticket</t>
        </is>
      </c>
      <c r="C8" s="13" t="inlineStr">
        <is>
          <t>Queue Management</t>
        </is>
      </c>
      <c r="D8" s="13" t="inlineStr">
        <is>
          <t>Patient check-in gets ticket no. Ticket tied to appointment.</t>
        </is>
      </c>
      <c r="E8" s="13" t="inlineStr">
        <is>
          <t>TruongNTCE180140</t>
        </is>
      </c>
      <c r="F8" s="14" t="inlineStr">
        <is>
          <t>To Do</t>
        </is>
      </c>
      <c r="G8" s="13" t="n"/>
      <c r="H8" s="13" t="n"/>
      <c r="I8" s="13" t="n"/>
      <c r="J8" s="15">
        <f>IF(L8="Simple",60,IF(L8="Medium",120,240))*IF(M8="Low",50%,IF(M8="Medium",75%,100%))</f>
        <v/>
      </c>
      <c r="K8" s="13" t="n"/>
      <c r="L8" s="13" t="inlineStr">
        <is>
          <t>Simple</t>
        </is>
      </c>
      <c r="M8" s="13" t="inlineStr">
        <is>
          <t>High</t>
        </is>
      </c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2.75" customHeight="1" s="27">
      <c r="A9" s="9">
        <f>ROW()-4</f>
        <v/>
      </c>
      <c r="B9" s="13" t="inlineStr">
        <is>
          <t>View My Queue Status (Patient)</t>
        </is>
      </c>
      <c r="C9" s="13" t="inlineStr">
        <is>
          <t>Queue Management</t>
        </is>
      </c>
      <c r="D9" s="13" t="inlineStr">
        <is>
          <t>Large current number and ahead count. Updates within 3s.</t>
        </is>
      </c>
      <c r="E9" s="13" t="inlineStr">
        <is>
          <t>TruongNTCE180140</t>
        </is>
      </c>
      <c r="F9" s="14" t="inlineStr">
        <is>
          <t>To Do</t>
        </is>
      </c>
      <c r="G9" s="13" t="n"/>
      <c r="H9" s="13" t="n"/>
      <c r="I9" s="13" t="n"/>
      <c r="J9" s="15">
        <f>IF(L9="Simple",60,IF(L9="Medium",120,240))*IF(M9="Low",50%,IF(M9="Medium",75%,100%))</f>
        <v/>
      </c>
      <c r="K9" s="13" t="n"/>
      <c r="L9" s="13" t="inlineStr">
        <is>
          <t>Simple</t>
        </is>
      </c>
      <c r="M9" s="13" t="inlineStr">
        <is>
          <t>High</t>
        </is>
      </c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2.75" customHeight="1" s="27">
      <c r="A10" s="9">
        <f>ROW()-4</f>
        <v/>
      </c>
      <c r="B10" s="13" t="inlineStr">
        <is>
          <t>View Queue Board (Waiting Room)</t>
        </is>
      </c>
      <c r="C10" s="13" t="inlineStr">
        <is>
          <t>Queue Management</t>
        </is>
      </c>
      <c r="D10" s="13" t="inlineStr">
        <is>
          <t>Current + next numbers full screen. Readable on tablet display.</t>
        </is>
      </c>
      <c r="E10" s="13" t="inlineStr">
        <is>
          <t>TruongNTCE180140</t>
        </is>
      </c>
      <c r="F10" s="14" t="inlineStr">
        <is>
          <t>To Do</t>
        </is>
      </c>
      <c r="G10" s="13" t="n"/>
      <c r="H10" s="13" t="n"/>
      <c r="I10" s="13" t="n"/>
      <c r="J10" s="15">
        <f>IF(L10="Simple",60,IF(L10="Medium",120,240))*IF(M10="Low",50%,IF(M10="Medium",75%,100%))</f>
        <v/>
      </c>
      <c r="K10" s="13" t="n"/>
      <c r="L10" s="13" t="inlineStr">
        <is>
          <t>Complex</t>
        </is>
      </c>
      <c r="M10" s="13" t="inlineStr">
        <is>
          <t>High</t>
        </is>
      </c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2.75" customHeight="1" s="27">
      <c r="A11" s="9">
        <f>ROW()-4</f>
        <v/>
      </c>
      <c r="B11" s="13" t="inlineStr">
        <is>
          <t>Call Next Patient</t>
        </is>
      </c>
      <c r="C11" s="13" t="inlineStr">
        <is>
          <t>Queue Management</t>
        </is>
      </c>
      <c r="D11" s="13" t="inlineStr">
        <is>
          <t>Doctor increments queue. Patient screen updates.</t>
        </is>
      </c>
      <c r="E11" s="13" t="inlineStr">
        <is>
          <t>TruongNTCE180140</t>
        </is>
      </c>
      <c r="F11" s="14" t="inlineStr">
        <is>
          <t>To Do</t>
        </is>
      </c>
      <c r="G11" s="13" t="n"/>
      <c r="H11" s="13" t="n"/>
      <c r="I11" s="13" t="n"/>
      <c r="J11" s="15">
        <f>IF(L11="Simple",60,IF(L11="Medium",120,240))*IF(M11="Low",50%,IF(M11="Medium",75%,100%))</f>
        <v/>
      </c>
      <c r="K11" s="13" t="n"/>
      <c r="L11" s="13" t="inlineStr">
        <is>
          <t>Simple</t>
        </is>
      </c>
      <c r="M11" s="13" t="inlineStr">
        <is>
          <t>High</t>
        </is>
      </c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2.75" customHeight="1" s="27">
      <c r="A12" s="9">
        <f>ROW()-4</f>
        <v/>
      </c>
      <c r="B12" s="13" t="inlineStr">
        <is>
          <t>Recall Previous Ticket</t>
        </is>
      </c>
      <c r="C12" s="13" t="inlineStr">
        <is>
          <t>Queue Management</t>
        </is>
      </c>
      <c r="D12" s="13" t="inlineStr">
        <is>
          <t>Optional recall last skipped. Audit log entry.</t>
        </is>
      </c>
      <c r="E12" s="13" t="inlineStr">
        <is>
          <t>TruongNTCE180140</t>
        </is>
      </c>
      <c r="F12" s="14" t="inlineStr">
        <is>
          <t>To Do</t>
        </is>
      </c>
      <c r="G12" s="13" t="n"/>
      <c r="H12" s="13" t="n"/>
      <c r="I12" s="13" t="n"/>
      <c r="J12" s="15">
        <f>IF(L12="Simple",60,IF(L12="Medium",120,240))*IF(M12="Low",50%,IF(M12="Medium",75%,100%))</f>
        <v/>
      </c>
      <c r="K12" s="13" t="n"/>
      <c r="L12" s="13" t="inlineStr">
        <is>
          <t>Simple</t>
        </is>
      </c>
      <c r="M12" s="13" t="inlineStr">
        <is>
          <t>High</t>
        </is>
      </c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2.75" customHeight="1" s="27">
      <c r="A13" s="9">
        <f>ROW()-4</f>
        <v/>
      </c>
      <c r="B13" s="13" t="inlineStr">
        <is>
          <t>Close Queue Session</t>
        </is>
      </c>
      <c r="C13" s="13" t="inlineStr">
        <is>
          <t>Queue Management</t>
        </is>
      </c>
      <c r="D13" s="13" t="inlineStr">
        <is>
          <t>End of clinic session. No new tickets.</t>
        </is>
      </c>
      <c r="E13" s="13" t="inlineStr">
        <is>
          <t>TruongNTCE180140</t>
        </is>
      </c>
      <c r="F13" s="14" t="inlineStr">
        <is>
          <t>To Do</t>
        </is>
      </c>
      <c r="G13" s="13" t="n"/>
      <c r="H13" s="13" t="n"/>
      <c r="I13" s="13" t="n"/>
      <c r="J13" s="15">
        <f>IF(L13="Simple",60,IF(L13="Medium",120,240))*IF(M13="Low",50%,IF(M13="Medium",75%,100%))</f>
        <v/>
      </c>
      <c r="K13" s="13" t="n"/>
      <c r="L13" s="13" t="inlineStr">
        <is>
          <t>Simple</t>
        </is>
      </c>
      <c r="M13" s="13" t="inlineStr">
        <is>
          <t>High</t>
        </is>
      </c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2.75" customHeight="1" s="27">
      <c r="A14" s="9">
        <f>ROW()-4</f>
        <v/>
      </c>
      <c r="B14" s="13" t="inlineStr">
        <is>
          <t>Patient EMR Timeline</t>
        </is>
      </c>
      <c r="C14" s="13" t="inlineStr">
        <is>
          <t>Electronic Medical Record</t>
        </is>
      </c>
      <c r="D14" s="13" t="inlineStr">
        <is>
          <t>Chronological encounters. Filter by date.</t>
        </is>
      </c>
      <c r="E14" s="13" t="inlineStr">
        <is>
          <t>ThangDQCE182036</t>
        </is>
      </c>
      <c r="F14" s="14" t="inlineStr">
        <is>
          <t>To Do</t>
        </is>
      </c>
      <c r="G14" s="13" t="n"/>
      <c r="H14" s="13" t="n"/>
      <c r="I14" s="13" t="n"/>
      <c r="J14" s="15">
        <f>IF(L14="Simple",60,IF(L14="Medium",120,240))*IF(M14="Low",50%,IF(M14="Medium",75%,100%))</f>
        <v/>
      </c>
      <c r="K14" s="13" t="n"/>
      <c r="L14" s="13" t="inlineStr">
        <is>
          <t>Medium</t>
        </is>
      </c>
      <c r="M14" s="13" t="inlineStr">
        <is>
          <t>High</t>
        </is>
      </c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2.75" customHeight="1" s="27">
      <c r="A15" s="9">
        <f>ROW()-4</f>
        <v/>
      </c>
      <c r="B15" s="13" t="inlineStr">
        <is>
          <t>Create Encounter</t>
        </is>
      </c>
      <c r="C15" s="13" t="inlineStr">
        <is>
          <t>Electronic Medical Record</t>
        </is>
      </c>
      <c r="D15" s="13" t="inlineStr">
        <is>
          <t>Vitals, chief complaint, linked appointment. One active encounter per visit. Persist encounter draft. Appears on timeline.</t>
        </is>
      </c>
      <c r="E15" s="13" t="inlineStr">
        <is>
          <t>KhoaNNCE181612</t>
        </is>
      </c>
      <c r="F15" s="14" t="inlineStr">
        <is>
          <t>To Do</t>
        </is>
      </c>
      <c r="G15" s="13" t="n"/>
      <c r="H15" s="13" t="n"/>
      <c r="I15" s="13" t="n"/>
      <c r="J15" s="15">
        <f>IF(L15="Simple",60,IF(L15="Medium",120,240))*IF(M15="Low",50%,IF(M15="Medium",75%,100%))</f>
        <v/>
      </c>
      <c r="K15" s="13" t="n"/>
      <c r="L15" s="13" t="inlineStr">
        <is>
          <t>Simple</t>
        </is>
      </c>
      <c r="M15" s="13" t="inlineStr">
        <is>
          <t>High</t>
        </is>
      </c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2.75" customHeight="1" s="27">
      <c r="A16" s="9">
        <f>ROW()-4</f>
        <v/>
      </c>
      <c r="B16" s="13" t="inlineStr">
        <is>
          <t>Encounter Detail</t>
        </is>
      </c>
      <c r="C16" s="13" t="inlineStr">
        <is>
          <t>Electronic Medical Record</t>
        </is>
      </c>
      <c r="D16" s="13" t="inlineStr">
        <is>
          <t>Read diagnoses, notes, prescriptions summary. Role-based access.</t>
        </is>
      </c>
      <c r="E16" s="13" t="inlineStr">
        <is>
          <t>TanhNTCE182341</t>
        </is>
      </c>
      <c r="F16" s="14" t="inlineStr">
        <is>
          <t>To Do</t>
        </is>
      </c>
      <c r="G16" s="13" t="n"/>
      <c r="H16" s="13" t="n"/>
      <c r="I16" s="13" t="n"/>
      <c r="J16" s="15">
        <f>IF(L16="Simple",60,IF(L16="Medium",120,240))*IF(M16="Low",50%,IF(M16="Medium",75%,100%))</f>
        <v/>
      </c>
      <c r="K16" s="13" t="n"/>
      <c r="L16" s="13" t="inlineStr">
        <is>
          <t>Simple</t>
        </is>
      </c>
      <c r="M16" s="13" t="inlineStr">
        <is>
          <t>High</t>
        </is>
      </c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2.75" customHeight="1" s="27">
      <c r="A17" s="9">
        <f>ROW()-4</f>
        <v/>
      </c>
      <c r="B17" s="13" t="inlineStr">
        <is>
          <t>Update Encounter</t>
        </is>
      </c>
      <c r="C17" s="13" t="inlineStr">
        <is>
          <t>Electronic Medical Record</t>
        </is>
      </c>
      <c r="D17" s="13" t="inlineStr">
        <is>
          <t>Free text clinical notes. Autosave optional. Persist changes. Locked after sign-off.</t>
        </is>
      </c>
      <c r="E17" s="13" t="inlineStr">
        <is>
          <t>ThangNDCE180608</t>
        </is>
      </c>
      <c r="F17" s="14" t="inlineStr">
        <is>
          <t>To Do</t>
        </is>
      </c>
      <c r="G17" s="13" t="n"/>
      <c r="H17" s="13" t="n"/>
      <c r="I17" s="13" t="n"/>
      <c r="J17" s="15">
        <f>IF(L17="Simple",60,IF(L17="Medium",120,240))*IF(M17="Low",50%,IF(M17="Medium",75%,100%))</f>
        <v/>
      </c>
      <c r="K17" s="13" t="n"/>
      <c r="L17" s="13" t="inlineStr">
        <is>
          <t>Simple</t>
        </is>
      </c>
      <c r="M17" s="13" t="inlineStr">
        <is>
          <t>High</t>
        </is>
      </c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2.75" customHeight="1" s="27">
      <c r="A18" s="9">
        <f>ROW()-4</f>
        <v/>
      </c>
      <c r="B18" s="13" t="inlineStr">
        <is>
          <t>Sign Off Encounter</t>
        </is>
      </c>
      <c r="C18" s="13" t="inlineStr">
        <is>
          <t>Electronic Medical Record</t>
        </is>
      </c>
      <c r="D18" s="13" t="inlineStr">
        <is>
          <t>Finalize encounter; no further edits. Confirm dialog.</t>
        </is>
      </c>
      <c r="E18" s="13" t="inlineStr">
        <is>
          <t>ThangDQCE182036</t>
        </is>
      </c>
      <c r="F18" s="14" t="inlineStr">
        <is>
          <t>To Do</t>
        </is>
      </c>
      <c r="G18" s="13" t="n"/>
      <c r="H18" s="13" t="n"/>
      <c r="I18" s="13" t="n"/>
      <c r="J18" s="15">
        <f>IF(L18="Simple",60,IF(L18="Medium",120,240))*IF(M18="Low",50%,IF(M18="Medium",75%,100%))</f>
        <v/>
      </c>
      <c r="K18" s="13" t="n"/>
      <c r="L18" s="13" t="inlineStr">
        <is>
          <t>Simple</t>
        </is>
      </c>
      <c r="M18" s="13" t="inlineStr">
        <is>
          <t>High</t>
        </is>
      </c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2.75" customHeight="1" s="27">
      <c r="A19" s="9">
        <f>ROW()-4</f>
        <v/>
      </c>
      <c r="B19" s="13" t="inlineStr">
        <is>
          <t>Add Diagnosis</t>
        </is>
      </c>
      <c r="C19" s="13" t="inlineStr">
        <is>
          <t>Electronic Medical Record</t>
        </is>
      </c>
      <c r="D19" s="13" t="inlineStr">
        <is>
          <t>ICD search + diagnosis text. At least one required to sign off. Link to encounter. Shows on timeline.</t>
        </is>
      </c>
      <c r="E19" s="13" t="inlineStr">
        <is>
          <t>TanhNTCE182341</t>
        </is>
      </c>
      <c r="F19" s="14" t="inlineStr">
        <is>
          <t>To Do</t>
        </is>
      </c>
      <c r="G19" s="13" t="n"/>
      <c r="H19" s="13" t="n"/>
      <c r="I19" s="13" t="n"/>
      <c r="J19" s="15">
        <f>IF(L19="Simple",60,IF(L19="Medium",120,240))*IF(M19="Low",50%,IF(M19="Medium",75%,100%))</f>
        <v/>
      </c>
      <c r="K19" s="13" t="n"/>
      <c r="L19" s="13" t="inlineStr">
        <is>
          <t>Simple</t>
        </is>
      </c>
      <c r="M19" s="13" t="inlineStr">
        <is>
          <t>High</t>
        </is>
      </c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2.75" customHeight="1" s="27">
      <c r="A20" s="9">
        <f>ROW()-4</f>
        <v/>
      </c>
      <c r="B20" s="13" t="inlineStr">
        <is>
          <t>View Edit Diagnosis Form</t>
        </is>
      </c>
      <c r="C20" s="13" t="inlineStr">
        <is>
          <t>Electronic Medical Record</t>
        </is>
      </c>
      <c r="D20" s="13" t="inlineStr">
        <is>
          <t>Update entry. Audit optional.</t>
        </is>
      </c>
      <c r="E20" s="13" t="inlineStr">
        <is>
          <t>KhoaNNCE181612</t>
        </is>
      </c>
      <c r="F20" s="14" t="inlineStr">
        <is>
          <t>To Do</t>
        </is>
      </c>
      <c r="G20" s="13" t="n"/>
      <c r="H20" s="13" t="n"/>
      <c r="I20" s="13" t="n"/>
      <c r="J20" s="15">
        <f>IF(L20="Simple",60,IF(L20="Medium",120,240))*IF(M20="Low",50%,IF(M20="Medium",75%,100%))</f>
        <v/>
      </c>
      <c r="K20" s="13" t="n"/>
      <c r="L20" s="13" t="inlineStr">
        <is>
          <t>Simple</t>
        </is>
      </c>
      <c r="M20" s="13" t="inlineStr">
        <is>
          <t>High</t>
        </is>
      </c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2.75" customHeight="1" s="27">
      <c r="A21" s="9">
        <f>ROW()-4</f>
        <v/>
      </c>
      <c r="B21" s="13" t="inlineStr">
        <is>
          <t>Remove Diagnosis</t>
        </is>
      </c>
      <c r="C21" s="13" t="inlineStr">
        <is>
          <t>Electronic Medical Record</t>
        </is>
      </c>
      <c r="D21" s="13" t="inlineStr">
        <is>
          <t>Delete with confirm. Removed from summary.</t>
        </is>
      </c>
      <c r="E21" s="13" t="inlineStr">
        <is>
          <t>TanhNTCE182341</t>
        </is>
      </c>
      <c r="F21" s="14" t="inlineStr">
        <is>
          <t>To Do</t>
        </is>
      </c>
      <c r="G21" s="13" t="n"/>
      <c r="H21" s="13" t="n"/>
      <c r="I21" s="13" t="n"/>
      <c r="J21" s="15">
        <f>IF(L21="Simple",60,IF(L21="Medium",120,240))*IF(M21="Low",50%,IF(M21="Medium",75%,100%))</f>
        <v/>
      </c>
      <c r="K21" s="13" t="n"/>
      <c r="L21" s="13" t="inlineStr">
        <is>
          <t>Simple</t>
        </is>
      </c>
      <c r="M21" s="13" t="inlineStr">
        <is>
          <t>High</t>
        </is>
      </c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2.75" customHeight="1" s="27">
      <c r="A22" s="9">
        <f>ROW()-4</f>
        <v/>
      </c>
      <c r="B22" s="13" t="inlineStr">
        <is>
          <t>Search ICD-10 Catalog</t>
        </is>
      </c>
      <c r="C22" s="13" t="inlineStr">
        <is>
          <t>Electronic Medical Record</t>
        </is>
      </c>
      <c r="D22" s="13" t="inlineStr">
        <is>
          <t>Autocomplete from catalog. Select fills code field.</t>
        </is>
      </c>
      <c r="E22" s="13" t="inlineStr">
        <is>
          <t>KhoaNNCE181612</t>
        </is>
      </c>
      <c r="F22" s="14" t="inlineStr">
        <is>
          <t>To Do</t>
        </is>
      </c>
      <c r="G22" s="13" t="n"/>
      <c r="H22" s="13" t="n"/>
      <c r="I22" s="13" t="n"/>
      <c r="J22" s="15">
        <f>IF(L22="Simple",60,IF(L22="Medium",120,240))*IF(M22="Low",50%,IF(M22="Medium",75%,100%))</f>
        <v/>
      </c>
      <c r="K22" s="13" t="n"/>
      <c r="L22" s="13" t="inlineStr">
        <is>
          <t>Simple</t>
        </is>
      </c>
      <c r="M22" s="13" t="inlineStr">
        <is>
          <t>High</t>
        </is>
      </c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2.75" customHeight="1" s="27">
      <c r="A23" s="9">
        <f>ROW()-4</f>
        <v/>
      </c>
      <c r="B23" s="13" t="inlineStr">
        <is>
          <t>Upload Medical Image</t>
        </is>
      </c>
      <c r="C23" s="13" t="inlineStr">
        <is>
          <t>Medical Imaging</t>
        </is>
      </c>
      <c r="D23" s="13" t="inlineStr">
        <is>
          <t>Select file, type, link encounter. Size/type validation. Store metadata + URL. Thumbnail on encounter.</t>
        </is>
      </c>
      <c r="E23" s="13" t="inlineStr">
        <is>
          <t>ThangNDCE180608</t>
        </is>
      </c>
      <c r="F23" s="14" t="inlineStr">
        <is>
          <t>To Do</t>
        </is>
      </c>
      <c r="G23" s="13" t="n"/>
      <c r="H23" s="13" t="n"/>
      <c r="I23" s="13" t="n"/>
      <c r="J23" s="15">
        <f>IF(L23="Simple",60,IF(L23="Medium",120,240))*IF(M23="Low",50%,IF(M23="Medium",75%,100%))</f>
        <v/>
      </c>
      <c r="K23" s="13" t="n"/>
      <c r="L23" s="13" t="inlineStr">
        <is>
          <t>Simple</t>
        </is>
      </c>
      <c r="M23" s="13" t="inlineStr">
        <is>
          <t>High</t>
        </is>
      </c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2.75" customHeight="1" s="27">
      <c r="A24" s="9">
        <f>ROW()-4</f>
        <v/>
      </c>
      <c r="B24" s="13" t="inlineStr">
        <is>
          <t>Medical Imaging Gallery</t>
        </is>
      </c>
      <c r="C24" s="13" t="inlineStr">
        <is>
          <t>Medical Imaging</t>
        </is>
      </c>
      <c r="D24" s="13" t="inlineStr">
        <is>
          <t>Grid by date. Click fullscreen.</t>
        </is>
      </c>
      <c r="E24" s="13" t="inlineStr">
        <is>
          <t>KhoaNNCE181612</t>
        </is>
      </c>
      <c r="F24" s="14" t="inlineStr">
        <is>
          <t>To Do</t>
        </is>
      </c>
      <c r="G24" s="13" t="n"/>
      <c r="H24" s="13" t="n"/>
      <c r="I24" s="13" t="n"/>
      <c r="J24" s="15">
        <f>IF(L24="Simple",60,IF(L24="Medium",120,240))*IF(M24="Low",50%,IF(M24="Medium",75%,100%))</f>
        <v/>
      </c>
      <c r="K24" s="13" t="n"/>
      <c r="L24" s="13" t="inlineStr">
        <is>
          <t>Simple</t>
        </is>
      </c>
      <c r="M24" s="13" t="inlineStr">
        <is>
          <t>High</t>
        </is>
      </c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2.75" customHeight="1" s="27">
      <c r="A25" s="9">
        <f>ROW()-4</f>
        <v/>
      </c>
      <c r="B25" s="13" t="inlineStr">
        <is>
          <t>View Image Fullscreen</t>
        </is>
      </c>
      <c r="C25" s="13" t="inlineStr">
        <is>
          <t>Medical Imaging</t>
        </is>
      </c>
      <c r="D25" s="13" t="inlineStr">
        <is>
          <t>Zoom/pan. Download if permitted.</t>
        </is>
      </c>
      <c r="E25" s="13" t="inlineStr">
        <is>
          <t>ThangNDCE180608</t>
        </is>
      </c>
      <c r="F25" s="14" t="inlineStr">
        <is>
          <t>To Do</t>
        </is>
      </c>
      <c r="G25" s="13" t="n"/>
      <c r="H25" s="13" t="n"/>
      <c r="I25" s="13" t="n"/>
      <c r="J25" s="15">
        <f>IF(L25="Simple",60,IF(L25="Medium",120,240))*IF(M25="Low",50%,IF(M25="Medium",75%,100%))</f>
        <v/>
      </c>
      <c r="K25" s="13" t="n"/>
      <c r="L25" s="13" t="inlineStr">
        <is>
          <t>Simple</t>
        </is>
      </c>
      <c r="M25" s="13" t="inlineStr">
        <is>
          <t>High</t>
        </is>
      </c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2.75" customHeight="1" s="27">
      <c r="A26" s="9">
        <f>ROW()-4</f>
        <v/>
      </c>
      <c r="B26" s="13" t="inlineStr">
        <is>
          <t>Delete Medical Image</t>
        </is>
      </c>
      <c r="C26" s="13" t="inlineStr">
        <is>
          <t>Medical Imaging</t>
        </is>
      </c>
      <c r="D26" s="13" t="inlineStr">
        <is>
          <t>Confirm; remove from encounter. Soft-delete retained admin.</t>
        </is>
      </c>
      <c r="E26" s="13" t="inlineStr">
        <is>
          <t>ThangDQCE182036</t>
        </is>
      </c>
      <c r="F26" s="14" t="inlineStr">
        <is>
          <t>To Do</t>
        </is>
      </c>
      <c r="G26" s="13" t="n"/>
      <c r="H26" s="13" t="n"/>
      <c r="I26" s="13" t="n"/>
      <c r="J26" s="15">
        <f>IF(L26="Simple",60,IF(L26="Medium",120,240))*IF(M26="Low",50%,IF(M26="Medium",75%,100%))</f>
        <v/>
      </c>
      <c r="K26" s="13" t="n"/>
      <c r="L26" s="13" t="inlineStr">
        <is>
          <t>Simple</t>
        </is>
      </c>
      <c r="M26" s="13" t="inlineStr">
        <is>
          <t>High</t>
        </is>
      </c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2.75" customHeight="1" s="27">
      <c r="A27" s="9">
        <f>ROW()-4</f>
        <v/>
      </c>
      <c r="B27" s="13" t="inlineStr">
        <is>
          <t>Create Prescription</t>
        </is>
      </c>
      <c r="C27" s="13" t="inlineStr">
        <is>
          <t>Prescription</t>
        </is>
      </c>
      <c r="D27" s="13" t="inlineStr">
        <is>
          <t>Add line items drug qty duration. Stock check warning.</t>
        </is>
      </c>
      <c r="E27" s="13" t="inlineStr">
        <is>
          <t>ThangDQCE182036</t>
        </is>
      </c>
      <c r="F27" s="14" t="inlineStr">
        <is>
          <t>To Do</t>
        </is>
      </c>
      <c r="G27" s="13" t="n"/>
      <c r="H27" s="13" t="n"/>
      <c r="I27" s="13" t="n"/>
      <c r="J27" s="15">
        <f>IF(L27="Simple",60,IF(L27="Medium",120,240))*IF(M27="Low",50%,IF(M27="Medium",75%,100%))</f>
        <v/>
      </c>
      <c r="K27" s="13" t="n"/>
      <c r="L27" s="13" t="inlineStr">
        <is>
          <t>Simple</t>
        </is>
      </c>
      <c r="M27" s="13" t="inlineStr">
        <is>
          <t>High</t>
        </is>
      </c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2.75" customHeight="1" s="27">
      <c r="A28" s="9">
        <f>ROW()-4</f>
        <v/>
      </c>
      <c r="B28" s="13" t="inlineStr">
        <is>
          <t>Add Prescription Line Item</t>
        </is>
      </c>
      <c r="C28" s="13" t="inlineStr">
        <is>
          <t>Prescription</t>
        </is>
      </c>
      <c r="D28" s="13" t="inlineStr">
        <is>
          <t>Row in prescription table. Duplicate drug warns.</t>
        </is>
      </c>
      <c r="E28" s="13" t="inlineStr">
        <is>
          <t>TanhNTCE182341</t>
        </is>
      </c>
      <c r="F28" s="14" t="inlineStr">
        <is>
          <t>To Do</t>
        </is>
      </c>
      <c r="G28" s="13" t="n"/>
      <c r="H28" s="13" t="n"/>
      <c r="I28" s="13" t="n"/>
      <c r="J28" s="15">
        <f>IF(L28="Simple",60,IF(L28="Medium",120,240))*IF(M28="Low",50%,IF(M28="Medium",75%,100%))</f>
        <v/>
      </c>
      <c r="K28" s="13" t="n"/>
      <c r="L28" s="13" t="inlineStr">
        <is>
          <t>Simple</t>
        </is>
      </c>
      <c r="M28" s="13" t="inlineStr">
        <is>
          <t>High</t>
        </is>
      </c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2.75" customHeight="1" s="27">
      <c r="A29" s="9">
        <f>ROW()-4</f>
        <v/>
      </c>
      <c r="B29" s="13" t="inlineStr">
        <is>
          <t>Update Prescription Line Item</t>
        </is>
      </c>
      <c r="C29" s="13" t="inlineStr">
        <is>
          <t>Prescription</t>
        </is>
      </c>
      <c r="D29" s="13" t="inlineStr">
        <is>
          <t>Change qty/duration. Recalculates total.</t>
        </is>
      </c>
      <c r="E29" s="13" t="inlineStr">
        <is>
          <t>KhoaNNCE181612</t>
        </is>
      </c>
      <c r="F29" s="14" t="inlineStr">
        <is>
          <t>To Do</t>
        </is>
      </c>
      <c r="G29" s="13" t="n"/>
      <c r="H29" s="13" t="n"/>
      <c r="I29" s="13" t="n"/>
      <c r="J29" s="15">
        <f>IF(L29="Simple",60,IF(L29="Medium",120,240))*IF(M29="Low",50%,IF(M29="Medium",75%,100%))</f>
        <v/>
      </c>
      <c r="K29" s="13" t="n"/>
      <c r="L29" s="13" t="inlineStr">
        <is>
          <t>Simple</t>
        </is>
      </c>
      <c r="M29" s="13" t="inlineStr">
        <is>
          <t>High</t>
        </is>
      </c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2.75" customHeight="1" s="27">
      <c r="A30" s="9">
        <f>ROW()-4</f>
        <v/>
      </c>
      <c r="B30" s="13" t="inlineStr">
        <is>
          <t>Remove Prescription Line Item</t>
        </is>
      </c>
      <c r="C30" s="13" t="inlineStr">
        <is>
          <t>Prescription</t>
        </is>
      </c>
      <c r="D30" s="13" t="inlineStr">
        <is>
          <t>Delete row. Total updates.</t>
        </is>
      </c>
      <c r="E30" s="13" t="inlineStr">
        <is>
          <t>ThangNDCE180608</t>
        </is>
      </c>
      <c r="F30" s="14" t="inlineStr">
        <is>
          <t>To Do</t>
        </is>
      </c>
      <c r="G30" s="13" t="n"/>
      <c r="H30" s="13" t="n"/>
      <c r="I30" s="13" t="n"/>
      <c r="J30" s="15">
        <f>IF(L30="Simple",60,IF(L30="Medium",120,240))*IF(M30="Low",50%,IF(M30="Medium",75%,100%))</f>
        <v/>
      </c>
      <c r="K30" s="13" t="n"/>
      <c r="L30" s="13" t="inlineStr">
        <is>
          <t>Simple</t>
        </is>
      </c>
      <c r="M30" s="13" t="inlineStr">
        <is>
          <t>High</t>
        </is>
      </c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2.75" customHeight="1" s="27">
      <c r="A31" s="9">
        <f>ROW()-4</f>
        <v/>
      </c>
      <c r="B31" s="13" t="inlineStr">
        <is>
          <t>Save Prescription</t>
        </is>
      </c>
      <c r="C31" s="13" t="inlineStr">
        <is>
          <t>Prescription</t>
        </is>
      </c>
      <c r="D31" s="13" t="inlineStr">
        <is>
          <t>Persist prescription. Stock decrement on sign-off.</t>
        </is>
      </c>
      <c r="E31" s="13" t="inlineStr">
        <is>
          <t>TanhNTCE182341</t>
        </is>
      </c>
      <c r="F31" s="14" t="inlineStr">
        <is>
          <t>To Do</t>
        </is>
      </c>
      <c r="G31" s="13" t="n"/>
      <c r="H31" s="13" t="n"/>
      <c r="I31" s="13" t="n"/>
      <c r="J31" s="15">
        <f>IF(L31="Simple",60,IF(L31="Medium",120,240))*IF(M31="Low",50%,IF(M31="Medium",75%,100%))</f>
        <v/>
      </c>
      <c r="K31" s="13" t="n"/>
      <c r="L31" s="13" t="inlineStr">
        <is>
          <t>Simple</t>
        </is>
      </c>
      <c r="M31" s="13" t="inlineStr">
        <is>
          <t>High</t>
        </is>
      </c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2.75" customHeight="1" s="27">
      <c r="A32" s="9">
        <f>ROW()-4</f>
        <v/>
      </c>
      <c r="B32" s="13" t="inlineStr">
        <is>
          <t>Prescription Detail</t>
        </is>
      </c>
      <c r="C32" s="13" t="inlineStr">
        <is>
          <t>Prescription</t>
        </is>
      </c>
      <c r="D32" s="13" t="inlineStr">
        <is>
          <t>Patient/doctor read-only view. Print button.</t>
        </is>
      </c>
      <c r="E32" s="13" t="inlineStr">
        <is>
          <t>ThangDQCE182036</t>
        </is>
      </c>
      <c r="F32" s="14" t="inlineStr">
        <is>
          <t>To Do</t>
        </is>
      </c>
      <c r="G32" s="13" t="n"/>
      <c r="H32" s="13" t="n"/>
      <c r="I32" s="13" t="n"/>
      <c r="J32" s="15">
        <f>IF(L32="Simple",60,IF(L32="Medium",120,240))*IF(M32="Low",50%,IF(M32="Medium",75%,100%))</f>
        <v/>
      </c>
      <c r="K32" s="13" t="n"/>
      <c r="L32" s="13" t="inlineStr">
        <is>
          <t>Simple</t>
        </is>
      </c>
      <c r="M32" s="13" t="inlineStr">
        <is>
          <t>High</t>
        </is>
      </c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2.75" customHeight="1" s="27">
      <c r="A33" s="9">
        <f>ROW()-4</f>
        <v/>
      </c>
      <c r="B33" s="13" t="inlineStr">
        <is>
          <t>My Prescriptions List</t>
        </is>
      </c>
      <c r="C33" s="13" t="inlineStr">
        <is>
          <t>Prescription</t>
        </is>
      </c>
      <c r="D33" s="13" t="inlineStr">
        <is>
          <t>Past prescriptions. Download PDF link.</t>
        </is>
      </c>
      <c r="E33" s="13" t="inlineStr">
        <is>
          <t>TanhNTCE182341</t>
        </is>
      </c>
      <c r="F33" s="14" t="inlineStr">
        <is>
          <t>To Do</t>
        </is>
      </c>
      <c r="G33" s="13" t="n"/>
      <c r="H33" s="13" t="n"/>
      <c r="I33" s="13" t="n"/>
      <c r="J33" s="15">
        <f>IF(L33="Simple",60,IF(L33="Medium",120,240))*IF(M33="Low",50%,IF(M33="Medium",75%,100%))</f>
        <v/>
      </c>
      <c r="K33" s="13" t="n"/>
      <c r="L33" s="13" t="inlineStr">
        <is>
          <t>Simple</t>
        </is>
      </c>
      <c r="M33" s="13" t="inlineStr">
        <is>
          <t>High</t>
        </is>
      </c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2.75" customHeight="1" s="27">
      <c r="A34" s="9">
        <f>ROW()-4</f>
        <v/>
      </c>
      <c r="B34" s="13" t="inlineStr">
        <is>
          <t>Export Prescription PDF</t>
        </is>
      </c>
      <c r="C34" s="13" t="inlineStr">
        <is>
          <t>Prescription</t>
        </is>
      </c>
      <c r="D34" s="13" t="inlineStr">
        <is>
          <t>Generate PDF with letterhead. Matches on-screen data.</t>
        </is>
      </c>
      <c r="E34" s="13" t="inlineStr">
        <is>
          <t>KhoaNNCE181612</t>
        </is>
      </c>
      <c r="F34" s="14" t="inlineStr">
        <is>
          <t>To Do</t>
        </is>
      </c>
      <c r="G34" s="13" t="n"/>
      <c r="H34" s="13" t="n"/>
      <c r="I34" s="13" t="n"/>
      <c r="J34" s="15">
        <f>IF(L34="Simple",60,IF(L34="Medium",120,240))*IF(M34="Low",50%,IF(M34="Medium",75%,100%))</f>
        <v/>
      </c>
      <c r="K34" s="13" t="n"/>
      <c r="L34" s="13" t="inlineStr">
        <is>
          <t>Medium</t>
        </is>
      </c>
      <c r="M34" s="13" t="inlineStr">
        <is>
          <t>High</t>
        </is>
      </c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2.75" customHeight="1" s="27">
      <c r="A35" s="9">
        <f>ROW()-4</f>
        <v/>
      </c>
      <c r="B35" s="13" t="inlineStr">
        <is>
          <t>View Prescription QR Code</t>
        </is>
      </c>
      <c r="C35" s="13" t="inlineStr">
        <is>
          <t>Prescription</t>
        </is>
      </c>
      <c r="D35" s="13" t="inlineStr">
        <is>
          <t>QR on PDF/screen. Encodes prescription id.</t>
        </is>
      </c>
      <c r="E35" s="13" t="inlineStr">
        <is>
          <t>KhoaNNCE181612</t>
        </is>
      </c>
      <c r="F35" s="14" t="inlineStr">
        <is>
          <t>To Do</t>
        </is>
      </c>
      <c r="G35" s="13" t="n"/>
      <c r="H35" s="13" t="n"/>
      <c r="I35" s="13" t="n"/>
      <c r="J35" s="15">
        <f>IF(L35="Simple",60,IF(L35="Medium",120,240))*IF(M35="Low",50%,IF(M35="Medium",75%,100%))</f>
        <v/>
      </c>
      <c r="K35" s="13" t="n"/>
      <c r="L35" s="13" t="inlineStr">
        <is>
          <t>Simple</t>
        </is>
      </c>
      <c r="M35" s="13" t="inlineStr">
        <is>
          <t>High</t>
        </is>
      </c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2.75" customHeight="1" s="27">
      <c r="A36" s="9">
        <f>ROW()-4</f>
        <v/>
      </c>
      <c r="B36" s="13" t="inlineStr">
        <is>
          <t>Verify Prescription QR</t>
        </is>
      </c>
      <c r="C36" s="13" t="inlineStr">
        <is>
          <t>Prescription</t>
        </is>
      </c>
      <c r="D36" s="13" t="inlineStr">
        <is>
          <t>Staff scan validation page. Valid/invalid/expired states.</t>
        </is>
      </c>
      <c r="E36" s="13" t="inlineStr">
        <is>
          <t>ThangNDCE180608</t>
        </is>
      </c>
      <c r="F36" s="14" t="inlineStr">
        <is>
          <t>To Do</t>
        </is>
      </c>
      <c r="G36" s="13" t="n"/>
      <c r="H36" s="13" t="n"/>
      <c r="I36" s="13" t="n"/>
      <c r="J36" s="15">
        <f>IF(L36="Simple",60,IF(L36="Medium",120,240))*IF(M36="Low",50%,IF(M36="Medium",75%,100%))</f>
        <v/>
      </c>
      <c r="K36" s="13" t="n"/>
      <c r="L36" s="13" t="inlineStr">
        <is>
          <t>Complex</t>
        </is>
      </c>
      <c r="M36" s="13" t="inlineStr">
        <is>
          <t>High</t>
        </is>
      </c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2.75" customHeight="1" s="27">
      <c r="A37" s="9">
        <f>ROW()-4</f>
        <v/>
      </c>
      <c r="B37" s="13" t="inlineStr">
        <is>
          <t>Medicines Inventory List</t>
        </is>
      </c>
      <c r="C37" s="13" t="inlineStr">
        <is>
          <t>Pharmacy</t>
        </is>
      </c>
      <c r="D37" s="13" t="inlineStr">
        <is>
          <t>SKU, name, qty, expiry. Low stock highlight.</t>
        </is>
      </c>
      <c r="E37" s="13" t="inlineStr">
        <is>
          <t>TruongNTCE180140</t>
        </is>
      </c>
      <c r="F37" s="14" t="inlineStr">
        <is>
          <t>To Do</t>
        </is>
      </c>
      <c r="G37" s="13" t="n"/>
      <c r="H37" s="13" t="n"/>
      <c r="I37" s="13" t="n"/>
      <c r="J37" s="15">
        <f>IF(L37="Simple",60,IF(L37="Medium",120,240))*IF(M37="Low",50%,IF(M37="Medium",75%,100%))</f>
        <v/>
      </c>
      <c r="K37" s="13" t="n"/>
      <c r="L37" s="13" t="inlineStr">
        <is>
          <t>Simple</t>
        </is>
      </c>
      <c r="M37" s="13" t="inlineStr">
        <is>
          <t>High</t>
        </is>
      </c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2.75" customHeight="1" s="27">
      <c r="A38" s="9">
        <f>ROW()-4</f>
        <v/>
      </c>
      <c r="B38" s="13" t="inlineStr">
        <is>
          <t>Create Medicine</t>
        </is>
      </c>
      <c r="C38" s="13" t="inlineStr">
        <is>
          <t>Pharmacy</t>
        </is>
      </c>
      <c r="D38" s="13" t="inlineStr">
        <is>
          <t>SKU, unit, reorder level. Unique SKU. Persist. Appears in inventory.</t>
        </is>
      </c>
      <c r="E38" s="13" t="inlineStr">
        <is>
          <t>ThangNDCE180608</t>
        </is>
      </c>
      <c r="F38" s="14" t="inlineStr">
        <is>
          <t>To Do</t>
        </is>
      </c>
      <c r="G38" s="13" t="n"/>
      <c r="H38" s="13" t="n"/>
      <c r="I38" s="13" t="n"/>
      <c r="J38" s="15">
        <f>IF(L38="Simple",60,IF(L38="Medium",120,240))*IF(M38="Low",50%,IF(M38="Medium",75%,100%))</f>
        <v/>
      </c>
      <c r="K38" s="13" t="n"/>
      <c r="L38" s="13" t="inlineStr">
        <is>
          <t>Simple</t>
        </is>
      </c>
      <c r="M38" s="13" t="inlineStr">
        <is>
          <t>High</t>
        </is>
      </c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2.75" customHeight="1" s="27">
      <c r="A39" s="9">
        <f>ROW()-4</f>
        <v/>
      </c>
      <c r="B39" s="13" t="inlineStr">
        <is>
          <t>Medicine Detail</t>
        </is>
      </c>
      <c r="C39" s="13" t="inlineStr">
        <is>
          <t>Pharmacy</t>
        </is>
      </c>
      <c r="D39" s="13" t="inlineStr">
        <is>
          <t>Batches and movement history link. Read-only tab.</t>
        </is>
      </c>
      <c r="E39" s="13" t="inlineStr">
        <is>
          <t>ThangDQCE182036</t>
        </is>
      </c>
      <c r="F39" s="14" t="inlineStr">
        <is>
          <t>To Do</t>
        </is>
      </c>
      <c r="G39" s="13" t="n"/>
      <c r="H39" s="13" t="n"/>
      <c r="I39" s="13" t="n"/>
      <c r="J39" s="15">
        <f>IF(L39="Simple",60,IF(L39="Medium",120,240))*IF(M39="Low",50%,IF(M39="Medium",75%,100%))</f>
        <v/>
      </c>
      <c r="K39" s="13" t="n"/>
      <c r="L39" s="13" t="inlineStr">
        <is>
          <t>Simple</t>
        </is>
      </c>
      <c r="M39" s="13" t="inlineStr">
        <is>
          <t>High</t>
        </is>
      </c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2.75" customHeight="1" s="27">
      <c r="A40" s="9">
        <f>ROW()-4</f>
        <v/>
      </c>
      <c r="B40" s="13" t="inlineStr">
        <is>
          <t>Update Medicine</t>
        </is>
      </c>
      <c r="C40" s="13" t="inlineStr">
        <is>
          <t>Pharmacy</t>
        </is>
      </c>
      <c r="D40" s="13" t="inlineStr">
        <is>
          <t>Update attributes. Deactivate option. Persist. List updated.</t>
        </is>
      </c>
      <c r="E40" s="13" t="inlineStr">
        <is>
          <t>TanhNTCE182341</t>
        </is>
      </c>
      <c r="F40" s="14" t="inlineStr">
        <is>
          <t>To Do</t>
        </is>
      </c>
      <c r="G40" s="13" t="n"/>
      <c r="H40" s="13" t="n"/>
      <c r="I40" s="13" t="n"/>
      <c r="J40" s="15">
        <f>IF(L40="Simple",60,IF(L40="Medium",120,240))*IF(M40="Low",50%,IF(M40="Medium",75%,100%))</f>
        <v/>
      </c>
      <c r="K40" s="13" t="n"/>
      <c r="L40" s="13" t="inlineStr">
        <is>
          <t>Simple</t>
        </is>
      </c>
      <c r="M40" s="13" t="inlineStr">
        <is>
          <t>High</t>
        </is>
      </c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2.75" customHeight="1" s="27">
      <c r="A41" s="9">
        <f>ROW()-4</f>
        <v/>
      </c>
      <c r="B41" s="13" t="inlineStr">
        <is>
          <t>Stock Inbound</t>
        </is>
      </c>
      <c r="C41" s="13" t="inlineStr">
        <is>
          <t>Pharmacy</t>
        </is>
      </c>
      <c r="D41" s="13" t="inlineStr">
        <is>
          <t>Qty, batch, expiry, supplier ref. Increases on hand. Ledger entry. Qty updated.</t>
        </is>
      </c>
      <c r="E41" s="13" t="inlineStr">
        <is>
          <t>KhoaNNCE181612</t>
        </is>
      </c>
      <c r="F41" s="14" t="inlineStr">
        <is>
          <t>To Do</t>
        </is>
      </c>
      <c r="G41" s="13" t="n"/>
      <c r="H41" s="13" t="n"/>
      <c r="I41" s="13" t="n"/>
      <c r="J41" s="15">
        <f>IF(L41="Simple",60,IF(L41="Medium",120,240))*IF(M41="Low",50%,IF(M41="Medium",75%,100%))</f>
        <v/>
      </c>
      <c r="K41" s="13" t="n"/>
      <c r="L41" s="13" t="inlineStr">
        <is>
          <t>Simple</t>
        </is>
      </c>
      <c r="M41" s="13" t="inlineStr">
        <is>
          <t>High</t>
        </is>
      </c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2.75" customHeight="1" s="27">
      <c r="A42" s="9">
        <f>ROW()-4</f>
        <v/>
      </c>
      <c r="B42" s="13" t="inlineStr">
        <is>
          <t>Stock Outbound</t>
        </is>
      </c>
      <c r="C42" s="13" t="inlineStr">
        <is>
          <t>Pharmacy</t>
        </is>
      </c>
      <c r="D42" s="13" t="inlineStr">
        <is>
          <t>Qty, reason, link prescription optional. Cannot exceed on hand. Decrement stock. Ledger entry.</t>
        </is>
      </c>
      <c r="E42" s="13" t="inlineStr">
        <is>
          <t>TruongNTCE180140</t>
        </is>
      </c>
      <c r="F42" s="14" t="inlineStr">
        <is>
          <t>To Do</t>
        </is>
      </c>
      <c r="G42" s="13" t="n"/>
      <c r="H42" s="13" t="n"/>
      <c r="I42" s="13" t="n"/>
      <c r="J42" s="15">
        <f>IF(L42="Simple",60,IF(L42="Medium",120,240))*IF(M42="Low",50%,IF(M42="Medium",75%,100%))</f>
        <v/>
      </c>
      <c r="K42" s="13" t="n"/>
      <c r="L42" s="13" t="inlineStr">
        <is>
          <t>Simple</t>
        </is>
      </c>
      <c r="M42" s="13" t="inlineStr">
        <is>
          <t>High</t>
        </is>
      </c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2.75" customHeight="1" s="27">
      <c r="A43" s="9">
        <f>ROW()-4</f>
        <v/>
      </c>
      <c r="B43" s="13" t="inlineStr">
        <is>
          <t>Low Stock Alerts</t>
        </is>
      </c>
      <c r="C43" s="13" t="inlineStr">
        <is>
          <t>Pharmacy</t>
        </is>
      </c>
      <c r="D43" s="13" t="inlineStr">
        <is>
          <t>Under threshold and near expiry lists. Sort by urgency.</t>
        </is>
      </c>
      <c r="E43" s="13" t="inlineStr">
        <is>
          <t>ThangNDCE180608</t>
        </is>
      </c>
      <c r="F43" s="14" t="inlineStr">
        <is>
          <t>To Do</t>
        </is>
      </c>
      <c r="G43" s="13" t="n"/>
      <c r="H43" s="13" t="n"/>
      <c r="I43" s="13" t="n"/>
      <c r="J43" s="15">
        <f>IF(L43="Simple",60,IF(L43="Medium",120,240))*IF(M43="Low",50%,IF(M43="Medium",75%,100%))</f>
        <v/>
      </c>
      <c r="K43" s="13" t="n"/>
      <c r="L43" s="13" t="inlineStr">
        <is>
          <t>Simple</t>
        </is>
      </c>
      <c r="M43" s="13" t="inlineStr">
        <is>
          <t>High</t>
        </is>
      </c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2.75" customHeight="1" s="27">
      <c r="A44" s="9">
        <f>ROW()-4</f>
        <v/>
      </c>
      <c r="B44" s="13" t="inlineStr">
        <is>
          <t>Add Doctor to Favorites</t>
        </is>
      </c>
      <c r="C44" s="13" t="inlineStr">
        <is>
          <t>Engagement &amp; Reviews</t>
        </is>
      </c>
      <c r="D44" s="13" t="inlineStr">
        <is>
          <t>Heart icon on profile. Toggle on.</t>
        </is>
      </c>
      <c r="E44" s="13" t="inlineStr">
        <is>
          <t>ThangDQCE182036</t>
        </is>
      </c>
      <c r="F44" s="14" t="inlineStr">
        <is>
          <t>To Do</t>
        </is>
      </c>
      <c r="G44" s="13" t="n"/>
      <c r="H44" s="13" t="n"/>
      <c r="I44" s="13" t="n"/>
      <c r="J44" s="15">
        <f>IF(L44="Simple",60,IF(L44="Medium",120,240))*IF(M44="Low",50%,IF(M44="Medium",75%,100%))</f>
        <v/>
      </c>
      <c r="K44" s="13" t="n"/>
      <c r="L44" s="13" t="inlineStr">
        <is>
          <t>Simple</t>
        </is>
      </c>
      <c r="M44" s="13" t="inlineStr">
        <is>
          <t>High</t>
        </is>
      </c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2.75" customHeight="1" s="27">
      <c r="A45" s="9">
        <f>ROW()-4</f>
        <v/>
      </c>
      <c r="B45" s="13" t="inlineStr">
        <is>
          <t>Favorite Doctors List</t>
        </is>
      </c>
      <c r="C45" s="13" t="inlineStr">
        <is>
          <t>Engagement &amp; Reviews</t>
        </is>
      </c>
      <c r="D45" s="13" t="inlineStr">
        <is>
          <t>List with quick book. Remove option.</t>
        </is>
      </c>
      <c r="E45" s="13" t="inlineStr">
        <is>
          <t>TanhNTCE182341</t>
        </is>
      </c>
      <c r="F45" s="14" t="inlineStr">
        <is>
          <t>To Do</t>
        </is>
      </c>
      <c r="G45" s="13" t="n"/>
      <c r="H45" s="13" t="n"/>
      <c r="I45" s="13" t="n"/>
      <c r="J45" s="15">
        <f>IF(L45="Simple",60,IF(L45="Medium",120,240))*IF(M45="Low",50%,IF(M45="Medium",75%,100%))</f>
        <v/>
      </c>
      <c r="K45" s="13" t="n"/>
      <c r="L45" s="13" t="inlineStr">
        <is>
          <t>Simple</t>
        </is>
      </c>
      <c r="M45" s="13" t="inlineStr">
        <is>
          <t>High</t>
        </is>
      </c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2.75" customHeight="1" s="27">
      <c r="A46" s="9">
        <f>ROW()-4</f>
        <v/>
      </c>
      <c r="B46" s="13" t="inlineStr">
        <is>
          <t>Remove Doctor from Favorites</t>
        </is>
      </c>
      <c r="C46" s="13" t="inlineStr">
        <is>
          <t>Engagement &amp; Reviews</t>
        </is>
      </c>
      <c r="D46" s="13" t="inlineStr">
        <is>
          <t>Remove from list. Undo optional toast.</t>
        </is>
      </c>
      <c r="E46" s="13" t="inlineStr">
        <is>
          <t>KhoaNNCE181612</t>
        </is>
      </c>
      <c r="F46" s="14" t="inlineStr">
        <is>
          <t>To Do</t>
        </is>
      </c>
      <c r="G46" s="13" t="n"/>
      <c r="H46" s="13" t="n"/>
      <c r="I46" s="13" t="n"/>
      <c r="J46" s="15">
        <f>IF(L46="Simple",60,IF(L46="Medium",120,240))*IF(M46="Low",50%,IF(M46="Medium",75%,100%))</f>
        <v/>
      </c>
      <c r="K46" s="13" t="n"/>
      <c r="L46" s="13" t="inlineStr">
        <is>
          <t>Simple</t>
        </is>
      </c>
      <c r="M46" s="13" t="inlineStr">
        <is>
          <t>High</t>
        </is>
      </c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2.75" customHeight="1" s="27">
      <c r="A47" s="9">
        <f>ROW()-4</f>
        <v/>
      </c>
      <c r="B47" s="13" t="inlineStr">
        <is>
          <t>Rate Doctor (Review)</t>
        </is>
      </c>
      <c r="C47" s="13" t="inlineStr">
        <is>
          <t>Engagement &amp; Reviews</t>
        </is>
      </c>
      <c r="D47" s="13" t="inlineStr">
        <is>
          <t>Stars + comment after visit. One review per appointment. Persist rating. Updates doctor average.</t>
        </is>
      </c>
      <c r="E47" s="13" t="inlineStr">
        <is>
          <t>ThangNDCE180608</t>
        </is>
      </c>
      <c r="F47" s="14" t="inlineStr">
        <is>
          <t>To Do</t>
        </is>
      </c>
      <c r="G47" s="13" t="n"/>
      <c r="H47" s="13" t="n"/>
      <c r="I47" s="13" t="n"/>
      <c r="J47" s="15">
        <f>IF(L47="Simple",60,IF(L47="Medium",120,240))*IF(M47="Low",50%,IF(M47="Medium",75%,100%))</f>
        <v/>
      </c>
      <c r="K47" s="13" t="n"/>
      <c r="L47" s="13" t="inlineStr">
        <is>
          <t>Simple</t>
        </is>
      </c>
      <c r="M47" s="13" t="inlineStr">
        <is>
          <t>High</t>
        </is>
      </c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2.75" customHeight="1" s="27">
      <c r="A48" s="9">
        <f>ROW()-4</f>
        <v/>
      </c>
      <c r="B48" s="13" t="inlineStr">
        <is>
          <t>Doctor Reviews List</t>
        </is>
      </c>
      <c r="C48" s="13" t="inlineStr">
        <is>
          <t>Engagement &amp; Reviews</t>
        </is>
      </c>
      <c r="D48" s="13" t="inlineStr">
        <is>
          <t>Public list on profile. Newest first.</t>
        </is>
      </c>
      <c r="E48" s="13" t="inlineStr">
        <is>
          <t>TruongNTCE180140</t>
        </is>
      </c>
      <c r="F48" s="14" t="inlineStr">
        <is>
          <t>To Do</t>
        </is>
      </c>
      <c r="G48" s="13" t="n"/>
      <c r="H48" s="13" t="n"/>
      <c r="I48" s="13" t="n"/>
      <c r="J48" s="15">
        <f>IF(L48="Simple",60,IF(L48="Medium",120,240))*IF(M48="Low",50%,IF(M48="Medium",75%,100%))</f>
        <v/>
      </c>
      <c r="K48" s="13" t="n"/>
      <c r="L48" s="13" t="inlineStr">
        <is>
          <t>Simple</t>
        </is>
      </c>
      <c r="M48" s="13" t="inlineStr">
        <is>
          <t>High</t>
        </is>
      </c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2.75" customHeight="1" s="27">
      <c r="A49" s="9">
        <f>ROW()-4</f>
        <v/>
      </c>
      <c r="B49" s="13" t="inlineStr">
        <is>
          <t>Notification Preferences</t>
        </is>
      </c>
      <c r="C49" s="13" t="inlineStr">
        <is>
          <t>Notifications</t>
        </is>
      </c>
      <c r="D49" s="13" t="inlineStr">
        <is>
          <t>Toggle email/push categories. Save preferences.</t>
        </is>
      </c>
      <c r="E49" s="13" t="inlineStr">
        <is>
          <t>ThangNDCE180608</t>
        </is>
      </c>
      <c r="F49" s="14" t="inlineStr">
        <is>
          <t>To Do</t>
        </is>
      </c>
      <c r="G49" s="13" t="n"/>
      <c r="H49" s="13" t="n"/>
      <c r="I49" s="13" t="n"/>
      <c r="J49" s="15">
        <f>IF(L49="Simple",60,IF(L49="Medium",120,240))*IF(M49="Low",50%,IF(M49="Medium",75%,100%))</f>
        <v/>
      </c>
      <c r="K49" s="13" t="n"/>
      <c r="L49" s="13" t="inlineStr">
        <is>
          <t>Simple</t>
        </is>
      </c>
      <c r="M49" s="13" t="inlineStr">
        <is>
          <t>High</t>
        </is>
      </c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2.75" customHeight="1" s="27">
      <c r="A50" s="9">
        <f>ROW()-4</f>
        <v/>
      </c>
      <c r="B50" s="13" t="inlineStr">
        <is>
          <t>Subscribe Browser Push</t>
        </is>
      </c>
      <c r="C50" s="13" t="inlineStr">
        <is>
          <t>Notifications</t>
        </is>
      </c>
      <c r="D50" s="13" t="inlineStr">
        <is>
          <t>Browser permission flow. Token stored.</t>
        </is>
      </c>
      <c r="E50" s="13" t="inlineStr">
        <is>
          <t>ThangDQCE182036</t>
        </is>
      </c>
      <c r="F50" s="14" t="inlineStr">
        <is>
          <t>To Do</t>
        </is>
      </c>
      <c r="G50" s="13" t="n"/>
      <c r="H50" s="13" t="n"/>
      <c r="I50" s="13" t="n"/>
      <c r="J50" s="15">
        <f>IF(L50="Simple",60,IF(L50="Medium",120,240))*IF(M50="Low",50%,IF(M50="Medium",75%,100%))</f>
        <v/>
      </c>
      <c r="K50" s="13" t="n"/>
      <c r="L50" s="13" t="inlineStr">
        <is>
          <t>Complex</t>
        </is>
      </c>
      <c r="M50" s="13" t="inlineStr">
        <is>
          <t>High</t>
        </is>
      </c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2.75" customHeight="1" s="27">
      <c r="A51" s="9">
        <f>ROW()-4</f>
        <v/>
      </c>
      <c r="B51" s="13" t="inlineStr">
        <is>
          <t>Notification Inbox</t>
        </is>
      </c>
      <c r="C51" s="13" t="inlineStr">
        <is>
          <t>Notifications</t>
        </is>
      </c>
      <c r="D51" s="13" t="inlineStr">
        <is>
          <t>List with read/unread. Mark read.</t>
        </is>
      </c>
      <c r="E51" s="13" t="inlineStr">
        <is>
          <t>ThangDQCE182036</t>
        </is>
      </c>
      <c r="F51" s="14" t="inlineStr">
        <is>
          <t>To Do</t>
        </is>
      </c>
      <c r="G51" s="13" t="n"/>
      <c r="H51" s="13" t="n"/>
      <c r="I51" s="13" t="n"/>
      <c r="J51" s="15">
        <f>IF(L51="Simple",60,IF(L51="Medium",120,240))*IF(M51="Low",50%,IF(M51="Medium",75%,100%))</f>
        <v/>
      </c>
      <c r="K51" s="13" t="n"/>
      <c r="L51" s="13" t="inlineStr">
        <is>
          <t>Simple</t>
        </is>
      </c>
      <c r="M51" s="13" t="inlineStr">
        <is>
          <t>High</t>
        </is>
      </c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2.75" customHeight="1" s="27">
      <c r="A52" s="9">
        <f>ROW()-4</f>
        <v/>
      </c>
      <c r="B52" s="13" t="inlineStr">
        <is>
          <t>Mark Notification as Read</t>
        </is>
      </c>
      <c r="C52" s="13" t="inlineStr">
        <is>
          <t>Notifications</t>
        </is>
      </c>
      <c r="D52" s="13" t="inlineStr">
        <is>
          <t>Single or bulk. Unread count updates.</t>
        </is>
      </c>
      <c r="E52" s="13" t="inlineStr">
        <is>
          <t>TanhNTCE182341</t>
        </is>
      </c>
      <c r="F52" s="14" t="inlineStr">
        <is>
          <t>To Do</t>
        </is>
      </c>
      <c r="G52" s="13" t="n"/>
      <c r="H52" s="13" t="n"/>
      <c r="I52" s="13" t="n"/>
      <c r="J52" s="15">
        <f>IF(L52="Simple",60,IF(L52="Medium",120,240))*IF(M52="Low",50%,IF(M52="Medium",75%,100%))</f>
        <v/>
      </c>
      <c r="K52" s="13" t="n"/>
      <c r="L52" s="13" t="inlineStr">
        <is>
          <t>Simple</t>
        </is>
      </c>
      <c r="M52" s="13" t="inlineStr">
        <is>
          <t>High</t>
        </is>
      </c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2.75" customHeight="1" s="27">
      <c r="A53" s="25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2.75" customHeight="1" s="27">
      <c r="A54" s="25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2.75" customHeight="1" s="27">
      <c r="A55" s="25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2.75" customHeight="1" s="27">
      <c r="A56" s="25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2.75" customHeight="1" s="27">
      <c r="A57" s="25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2.75" customHeight="1" s="27">
      <c r="A58" s="25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2.75" customHeight="1" s="27">
      <c r="A59" s="25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2.75" customHeight="1" s="27">
      <c r="A60" s="25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2.75" customHeight="1" s="27">
      <c r="A61" s="25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2.75" customHeight="1" s="27">
      <c r="A62" s="25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2.75" customHeight="1" s="27">
      <c r="A63" s="25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2.75" customHeight="1" s="27">
      <c r="A64" s="25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2.75" customHeight="1" s="27">
      <c r="A65" s="25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2.75" customHeight="1" s="27">
      <c r="A66" s="25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2.75" customHeight="1" s="27">
      <c r="A67" s="25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2.75" customHeight="1" s="27">
      <c r="A68" s="25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2.75" customHeight="1" s="27">
      <c r="A69" s="25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2.75" customHeight="1" s="27">
      <c r="A70" s="25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2.75" customHeight="1" s="27">
      <c r="A71" s="25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2.75" customHeight="1" s="27">
      <c r="A72" s="25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2.75" customHeight="1" s="27">
      <c r="A73" s="25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2.75" customHeight="1" s="27">
      <c r="A74" s="25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2.75" customHeight="1" s="27">
      <c r="A75" s="25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2.75" customHeight="1" s="27">
      <c r="A76" s="25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2.75" customHeight="1" s="27">
      <c r="A77" s="25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2.75" customHeight="1" s="27">
      <c r="A78" s="25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2.75" customHeight="1" s="27">
      <c r="A79" s="25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2.75" customHeight="1" s="27">
      <c r="A80" s="25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2.75" customHeight="1" s="27">
      <c r="A81" s="25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2.75" customHeight="1" s="27">
      <c r="A82" s="25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2.75" customHeight="1" s="27">
      <c r="A83" s="25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2.75" customHeight="1" s="27">
      <c r="A84" s="25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2.75" customHeight="1" s="27">
      <c r="A85" s="25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2.75" customHeight="1" s="27">
      <c r="A86" s="25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2.75" customHeight="1" s="27">
      <c r="A87" s="25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2.75" customHeight="1" s="27">
      <c r="A88" s="25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2.75" customHeight="1" s="27">
      <c r="A89" s="25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2.75" customHeight="1" s="27">
      <c r="A90" s="25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2.75" customHeight="1" s="27">
      <c r="A91" s="25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2.75" customHeight="1" s="27">
      <c r="A92" s="25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2.75" customHeight="1" s="27">
      <c r="A93" s="25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2.75" customHeight="1" s="27">
      <c r="A94" s="25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2.75" customHeight="1" s="27">
      <c r="A95" s="25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2.75" customHeight="1" s="27">
      <c r="A96" s="25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2.75" customHeight="1" s="27">
      <c r="A97" s="25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2.75" customHeight="1" s="27">
      <c r="A98" s="25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2.75" customHeight="1" s="27">
      <c r="A99" s="25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2.75" customHeight="1" s="27">
      <c r="A100" s="25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2.75" customHeight="1" s="27">
      <c r="A101" s="25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2.75" customHeight="1" s="27">
      <c r="A102" s="25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2.75" customHeight="1" s="27">
      <c r="A103" s="25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2.75" customHeight="1" s="27">
      <c r="A104" s="25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2.75" customHeight="1" s="27">
      <c r="A105" s="25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2.75" customHeight="1" s="27">
      <c r="A106" s="25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2.75" customHeight="1" s="27">
      <c r="A107" s="25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2.75" customHeight="1" s="27">
      <c r="A108" s="25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2.75" customHeight="1" s="27">
      <c r="A109" s="25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2.75" customHeight="1" s="27">
      <c r="A110" s="25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2.75" customHeight="1" s="27">
      <c r="A111" s="25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2.75" customHeight="1" s="27">
      <c r="A112" s="25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2.75" customHeight="1" s="27">
      <c r="A113" s="25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2.75" customHeight="1" s="27">
      <c r="A114" s="25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2.75" customHeight="1" s="27">
      <c r="A115" s="25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2.75" customHeight="1" s="27">
      <c r="A116" s="25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2.75" customHeight="1" s="27">
      <c r="A117" s="25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2.75" customHeight="1" s="27">
      <c r="A118" s="25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2.75" customHeight="1" s="27">
      <c r="A119" s="25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2.75" customHeight="1" s="27">
      <c r="A120" s="25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2.75" customHeight="1" s="27">
      <c r="A121" s="25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2.75" customHeight="1" s="27">
      <c r="A122" s="25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2.75" customHeight="1" s="27">
      <c r="A123" s="25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2.75" customHeight="1" s="27">
      <c r="A124" s="25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2.75" customHeight="1" s="27">
      <c r="A125" s="25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2.75" customHeight="1" s="27">
      <c r="A126" s="25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2.75" customHeight="1" s="27">
      <c r="A127" s="25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2.75" customHeight="1" s="27">
      <c r="A128" s="25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2.75" customHeight="1" s="27">
      <c r="A129" s="25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2.75" customHeight="1" s="27">
      <c r="A130" s="25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2.75" customHeight="1" s="27">
      <c r="A131" s="25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2.75" customHeight="1" s="27">
      <c r="A132" s="25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2.75" customHeight="1" s="27">
      <c r="A133" s="25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2.75" customHeight="1" s="27">
      <c r="A134" s="25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2.75" customHeight="1" s="27">
      <c r="A135" s="25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2.75" customHeight="1" s="27">
      <c r="A136" s="25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2.75" customHeight="1" s="27">
      <c r="A137" s="25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2.75" customHeight="1" s="27">
      <c r="A138" s="25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2.75" customHeight="1" s="27">
      <c r="A139" s="25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2.75" customHeight="1" s="27">
      <c r="A140" s="25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2.75" customHeight="1" s="27">
      <c r="A141" s="25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2.75" customHeight="1" s="27">
      <c r="A142" s="25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2.75" customHeight="1" s="27">
      <c r="A143" s="25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2.75" customHeight="1" s="27">
      <c r="A144" s="25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2.75" customHeight="1" s="27">
      <c r="A145" s="25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2.75" customHeight="1" s="27">
      <c r="A146" s="25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2.75" customHeight="1" s="27">
      <c r="A147" s="25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2.75" customHeight="1" s="27">
      <c r="A148" s="25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2.75" customHeight="1" s="27">
      <c r="A149" s="25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2.75" customHeight="1" s="27">
      <c r="A150" s="25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2.75" customHeight="1" s="27">
      <c r="A151" s="25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2.75" customHeight="1" s="27">
      <c r="A152" s="25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2.75" customHeight="1" s="27">
      <c r="A153" s="25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2.75" customHeight="1" s="27">
      <c r="A154" s="25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2.75" customHeight="1" s="27">
      <c r="A155" s="25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2.75" customHeight="1" s="27">
      <c r="A156" s="25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2.75" customHeight="1" s="27">
      <c r="A157" s="25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2.75" customHeight="1" s="27">
      <c r="A158" s="25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2.75" customHeight="1" s="27">
      <c r="A159" s="25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2.75" customHeight="1" s="27">
      <c r="A160" s="25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2.75" customHeight="1" s="27">
      <c r="A161" s="25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2.75" customHeight="1" s="27">
      <c r="A162" s="25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2.75" customHeight="1" s="27">
      <c r="A163" s="25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2.75" customHeight="1" s="27">
      <c r="A164" s="25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2.75" customHeight="1" s="27">
      <c r="A165" s="25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2.75" customHeight="1" s="27">
      <c r="A166" s="25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2.75" customHeight="1" s="27">
      <c r="A167" s="25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2.75" customHeight="1" s="27">
      <c r="A168" s="25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2.75" customHeight="1" s="27">
      <c r="A169" s="25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2.75" customHeight="1" s="27">
      <c r="A170" s="25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2.75" customHeight="1" s="27">
      <c r="A171" s="25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2.75" customHeight="1" s="27">
      <c r="A172" s="25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2.75" customHeight="1" s="27">
      <c r="A173" s="25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2.75" customHeight="1" s="27">
      <c r="A174" s="25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2.75" customHeight="1" s="27">
      <c r="A175" s="25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2.75" customHeight="1" s="27">
      <c r="A176" s="25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2.75" customHeight="1" s="27">
      <c r="A177" s="25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2.75" customHeight="1" s="27">
      <c r="A178" s="25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2.75" customHeight="1" s="27">
      <c r="A179" s="25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2.75" customHeight="1" s="27">
      <c r="A180" s="25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2.75" customHeight="1" s="27">
      <c r="A181" s="25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2.75" customHeight="1" s="27">
      <c r="A182" s="25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2.75" customHeight="1" s="27">
      <c r="A183" s="25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2.75" customHeight="1" s="27">
      <c r="A184" s="25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2.75" customHeight="1" s="27">
      <c r="A185" s="25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2.75" customHeight="1" s="27">
      <c r="A186" s="25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2.75" customHeight="1" s="27">
      <c r="A187" s="25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2.75" customHeight="1" s="27">
      <c r="A188" s="25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2.75" customHeight="1" s="27">
      <c r="A189" s="25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2.75" customHeight="1" s="27">
      <c r="A190" s="25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2.75" customHeight="1" s="27">
      <c r="A191" s="25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2.75" customHeight="1" s="27">
      <c r="A192" s="25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2.75" customHeight="1" s="27">
      <c r="A193" s="25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2.75" customHeight="1" s="27">
      <c r="A194" s="25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2.75" customHeight="1" s="27">
      <c r="A195" s="25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2.75" customHeight="1" s="27">
      <c r="A196" s="25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2.75" customHeight="1" s="27">
      <c r="A197" s="25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2.75" customHeight="1" s="27">
      <c r="A198" s="25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2.75" customHeight="1" s="27">
      <c r="A199" s="25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2.75" customHeight="1" s="27">
      <c r="A200" s="25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2.75" customHeight="1" s="27">
      <c r="A201" s="25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2.75" customHeight="1" s="27">
      <c r="A202" s="25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2.75" customHeight="1" s="27">
      <c r="A203" s="25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2.75" customHeight="1" s="27">
      <c r="A204" s="25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2.75" customHeight="1" s="27">
      <c r="A205" s="25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2.75" customHeight="1" s="27">
      <c r="A206" s="25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2.75" customHeight="1" s="27">
      <c r="A207" s="25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2.75" customHeight="1" s="27">
      <c r="A208" s="25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2.75" customHeight="1" s="27">
      <c r="A209" s="25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2.75" customHeight="1" s="27">
      <c r="A210" s="25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2.75" customHeight="1" s="27">
      <c r="A211" s="25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2.75" customHeight="1" s="27">
      <c r="A212" s="25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2.75" customHeight="1" s="27">
      <c r="A213" s="25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2.75" customHeight="1" s="27">
      <c r="A214" s="25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2.75" customHeight="1" s="27">
      <c r="A215" s="25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2.75" customHeight="1" s="27">
      <c r="A216" s="25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2.75" customHeight="1" s="27">
      <c r="A217" s="25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2.75" customHeight="1" s="27">
      <c r="A218" s="25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2.75" customHeight="1" s="27">
      <c r="A219" s="25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2.75" customHeight="1" s="27">
      <c r="A220" s="25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2.75" customHeight="1" s="27">
      <c r="A221" s="25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2.75" customHeight="1" s="27">
      <c r="A222" s="25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2.75" customHeight="1" s="27">
      <c r="A223" s="25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2.75" customHeight="1" s="27">
      <c r="A224" s="25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2.75" customHeight="1" s="27">
      <c r="A225" s="25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2.75" customHeight="1" s="27">
      <c r="A226" s="25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2.75" customHeight="1" s="27">
      <c r="A227" s="25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2.75" customHeight="1" s="27">
      <c r="A228" s="25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2.75" customHeight="1" s="27">
      <c r="A229" s="25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2.75" customHeight="1" s="27">
      <c r="A230" s="25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2.75" customHeight="1" s="27">
      <c r="A231" s="25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2.75" customHeight="1" s="27">
      <c r="A232" s="25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2.75" customHeight="1" s="27">
      <c r="A233" s="25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2.75" customHeight="1" s="27">
      <c r="A234" s="25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2.75" customHeight="1" s="27">
      <c r="A235" s="25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2.75" customHeight="1" s="27">
      <c r="A236" s="25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2.75" customHeight="1" s="27">
      <c r="A237" s="25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2.75" customHeight="1" s="27">
      <c r="A238" s="25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2.75" customHeight="1" s="27">
      <c r="A239" s="25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2.75" customHeight="1" s="27">
      <c r="A240" s="25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2.75" customHeight="1" s="27">
      <c r="A241" s="25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2.75" customHeight="1" s="27">
      <c r="A242" s="25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2.75" customHeight="1" s="27">
      <c r="A243" s="25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2.75" customHeight="1" s="27">
      <c r="A244" s="25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2.75" customHeight="1" s="27">
      <c r="A245" s="25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2.75" customHeight="1" s="27">
      <c r="A246" s="25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2.75" customHeight="1" s="27">
      <c r="A247" s="25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2.75" customHeight="1" s="27">
      <c r="A248" s="25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2.75" customHeight="1" s="27">
      <c r="A249" s="25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2.75" customHeight="1" s="27">
      <c r="A250" s="25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2.75" customHeight="1" s="27">
      <c r="A251" s="25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2.75" customHeight="1" s="27">
      <c r="A252" s="25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2.75" customHeight="1" s="27">
      <c r="A253" s="25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2.75" customHeight="1" s="27">
      <c r="A254" s="25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2.75" customHeight="1" s="27">
      <c r="A255" s="25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2.75" customHeight="1" s="27">
      <c r="A256" s="25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2.75" customHeight="1" s="27">
      <c r="A257" s="25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2.75" customHeight="1" s="27">
      <c r="A258" s="25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2.75" customHeight="1" s="27">
      <c r="A259" s="25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2.75" customHeight="1" s="27">
      <c r="A260" s="25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2.75" customHeight="1" s="27">
      <c r="A261" s="25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2.75" customHeight="1" s="27">
      <c r="A262" s="25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2.75" customHeight="1" s="27">
      <c r="A263" s="25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2.75" customHeight="1" s="27">
      <c r="A264" s="25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2.75" customHeight="1" s="27">
      <c r="A265" s="25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2.75" customHeight="1" s="27">
      <c r="A266" s="25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2.75" customHeight="1" s="27">
      <c r="A267" s="25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2.75" customHeight="1" s="27">
      <c r="A268" s="25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2.75" customHeight="1" s="27">
      <c r="A269" s="25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2.75" customHeight="1" s="27">
      <c r="A270" s="25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2.75" customHeight="1" s="27">
      <c r="A271" s="25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2.75" customHeight="1" s="27">
      <c r="A272" s="25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2.75" customHeight="1" s="27">
      <c r="A273" s="25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2.75" customHeight="1" s="27">
      <c r="A274" s="25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2.75" customHeight="1" s="27">
      <c r="A275" s="25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2.75" customHeight="1" s="27">
      <c r="A276" s="25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2.75" customHeight="1" s="27">
      <c r="A277" s="25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2.75" customHeight="1" s="27">
      <c r="A278" s="25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2.75" customHeight="1" s="27">
      <c r="A279" s="25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2.75" customHeight="1" s="27">
      <c r="A280" s="25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2.75" customHeight="1" s="27">
      <c r="A281" s="25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2.75" customHeight="1" s="27">
      <c r="A282" s="25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2.75" customHeight="1" s="27">
      <c r="A283" s="25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2.75" customHeight="1" s="27">
      <c r="A284" s="25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2.75" customHeight="1" s="27">
      <c r="A285" s="25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2.75" customHeight="1" s="27">
      <c r="A286" s="25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2.75" customHeight="1" s="27">
      <c r="A287" s="25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2.75" customHeight="1" s="27">
      <c r="A288" s="25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2.75" customHeight="1" s="27">
      <c r="A289" s="25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2.75" customHeight="1" s="27">
      <c r="A290" s="25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2.75" customHeight="1" s="27">
      <c r="A291" s="25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2.75" customHeight="1" s="27">
      <c r="A292" s="25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2.75" customHeight="1" s="27">
      <c r="A293" s="25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2.75" customHeight="1" s="27">
      <c r="A294" s="25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2.75" customHeight="1" s="27">
      <c r="A295" s="25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2.75" customHeight="1" s="27">
      <c r="A296" s="25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2.75" customHeight="1" s="27">
      <c r="A297" s="25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2.75" customHeight="1" s="27">
      <c r="A298" s="25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2.75" customHeight="1" s="27">
      <c r="A299" s="25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2.75" customHeight="1" s="27">
      <c r="A300" s="25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2.75" customHeight="1" s="27">
      <c r="A301" s="25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2.75" customHeight="1" s="27">
      <c r="A302" s="25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2.75" customHeight="1" s="27">
      <c r="A303" s="25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2.75" customHeight="1" s="27">
      <c r="A304" s="25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2.75" customHeight="1" s="27">
      <c r="A305" s="25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2.75" customHeight="1" s="27">
      <c r="A306" s="25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2.75" customHeight="1" s="27">
      <c r="A307" s="25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2.75" customHeight="1" s="27">
      <c r="A308" s="25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2.75" customHeight="1" s="27">
      <c r="A309" s="25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2.75" customHeight="1" s="27">
      <c r="A310" s="25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2.75" customHeight="1" s="27">
      <c r="A311" s="25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2.75" customHeight="1" s="27">
      <c r="A312" s="25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2.75" customHeight="1" s="27">
      <c r="A313" s="25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2.75" customHeight="1" s="27">
      <c r="A314" s="25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2.75" customHeight="1" s="27">
      <c r="A315" s="25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2.75" customHeight="1" s="27">
      <c r="A316" s="25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2.75" customHeight="1" s="27">
      <c r="A317" s="25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2.75" customHeight="1" s="27">
      <c r="A318" s="25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2.75" customHeight="1" s="27">
      <c r="A319" s="25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2.75" customHeight="1" s="27">
      <c r="A320" s="25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2.75" customHeight="1" s="27">
      <c r="A321" s="25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2.75" customHeight="1" s="27">
      <c r="A322" s="25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2.75" customHeight="1" s="27">
      <c r="A323" s="25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2.75" customHeight="1" s="27">
      <c r="A324" s="25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2.75" customHeight="1" s="27">
      <c r="A325" s="25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2.75" customHeight="1" s="27">
      <c r="A326" s="25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2.75" customHeight="1" s="27">
      <c r="A327" s="25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2.75" customHeight="1" s="27">
      <c r="A328" s="25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2.75" customHeight="1" s="27">
      <c r="A329" s="25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2.75" customHeight="1" s="27">
      <c r="A330" s="25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2.75" customHeight="1" s="27">
      <c r="A331" s="25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2.75" customHeight="1" s="27">
      <c r="A332" s="25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2.75" customHeight="1" s="27">
      <c r="A333" s="25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2.75" customHeight="1" s="27">
      <c r="A334" s="25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2.75" customHeight="1" s="27">
      <c r="A335" s="25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2.75" customHeight="1" s="27">
      <c r="A336" s="25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2.75" customHeight="1" s="27">
      <c r="A337" s="25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2.75" customHeight="1" s="27">
      <c r="A338" s="25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2.75" customHeight="1" s="27">
      <c r="A339" s="25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2.75" customHeight="1" s="27">
      <c r="A340" s="25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2.75" customHeight="1" s="27">
      <c r="A341" s="25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2.75" customHeight="1" s="27">
      <c r="A342" s="25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2.75" customHeight="1" s="27">
      <c r="A343" s="25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2.75" customHeight="1" s="27">
      <c r="A344" s="25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2.75" customHeight="1" s="27">
      <c r="A345" s="25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2.75" customHeight="1" s="27">
      <c r="A346" s="25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2.75" customHeight="1" s="27">
      <c r="A347" s="25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2.75" customHeight="1" s="27">
      <c r="A348" s="25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2.75" customHeight="1" s="27">
      <c r="A349" s="25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2.75" customHeight="1" s="27">
      <c r="A350" s="25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2.75" customHeight="1" s="27">
      <c r="A351" s="25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2.75" customHeight="1" s="27">
      <c r="A352" s="25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2.75" customHeight="1" s="27">
      <c r="A353" s="25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2.75" customHeight="1" s="27">
      <c r="A354" s="25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2.75" customHeight="1" s="27">
      <c r="A355" s="25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2.75" customHeight="1" s="27">
      <c r="A356" s="25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2.75" customHeight="1" s="27">
      <c r="A357" s="25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2.75" customHeight="1" s="27">
      <c r="A358" s="25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2.75" customHeight="1" s="27">
      <c r="A359" s="25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2.75" customHeight="1" s="27">
      <c r="A360" s="25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2.75" customHeight="1" s="27">
      <c r="A361" s="25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2.75" customHeight="1" s="27">
      <c r="A362" s="25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2.75" customHeight="1" s="27">
      <c r="A363" s="25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2.75" customHeight="1" s="27">
      <c r="A364" s="25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2.75" customHeight="1" s="27">
      <c r="A365" s="25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2.75" customHeight="1" s="27">
      <c r="A366" s="25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2.75" customHeight="1" s="27">
      <c r="A367" s="25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2.75" customHeight="1" s="27">
      <c r="A368" s="25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2.75" customHeight="1" s="27">
      <c r="A369" s="25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2.75" customHeight="1" s="27">
      <c r="A370" s="25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2.75" customHeight="1" s="27">
      <c r="A371" s="25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2.75" customHeight="1" s="27">
      <c r="A372" s="25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2.75" customHeight="1" s="27">
      <c r="A373" s="25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2.75" customHeight="1" s="27">
      <c r="A374" s="25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2.75" customHeight="1" s="27">
      <c r="A375" s="25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2.75" customHeight="1" s="27">
      <c r="A376" s="25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2.75" customHeight="1" s="27">
      <c r="A377" s="25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2.75" customHeight="1" s="27">
      <c r="A378" s="25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2.75" customHeight="1" s="27">
      <c r="A379" s="25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2.75" customHeight="1" s="27">
      <c r="A380" s="25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2.75" customHeight="1" s="27">
      <c r="A381" s="25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2.75" customHeight="1" s="27">
      <c r="A382" s="25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2.75" customHeight="1" s="27">
      <c r="A383" s="25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2.75" customHeight="1" s="27">
      <c r="A384" s="25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2.75" customHeight="1" s="27">
      <c r="A385" s="25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2.75" customHeight="1" s="27">
      <c r="A386" s="25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2.75" customHeight="1" s="27">
      <c r="A387" s="25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2.75" customHeight="1" s="27">
      <c r="A388" s="25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2.75" customHeight="1" s="27">
      <c r="A389" s="25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2.75" customHeight="1" s="27">
      <c r="A390" s="25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2.75" customHeight="1" s="27">
      <c r="A391" s="25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2.75" customHeight="1" s="27">
      <c r="A392" s="25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2.75" customHeight="1" s="27">
      <c r="A393" s="25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2.75" customHeight="1" s="27">
      <c r="A394" s="25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2.75" customHeight="1" s="27">
      <c r="A395" s="25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2.75" customHeight="1" s="27">
      <c r="A396" s="25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2.75" customHeight="1" s="27">
      <c r="A397" s="25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2.75" customHeight="1" s="27">
      <c r="A398" s="25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2.75" customHeight="1" s="27">
      <c r="A399" s="25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2.75" customHeight="1" s="27">
      <c r="A400" s="25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2.75" customHeight="1" s="27">
      <c r="A401" s="25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2.75" customHeight="1" s="27">
      <c r="A402" s="25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2.75" customHeight="1" s="27">
      <c r="A403" s="25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2.75" customHeight="1" s="27">
      <c r="A404" s="25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2.75" customHeight="1" s="27">
      <c r="A405" s="25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2.75" customHeight="1" s="27">
      <c r="A406" s="25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2.75" customHeight="1" s="27">
      <c r="A407" s="25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2.75" customHeight="1" s="27">
      <c r="A408" s="25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2.75" customHeight="1" s="27">
      <c r="A409" s="25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2.75" customHeight="1" s="27">
      <c r="A410" s="25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2.75" customHeight="1" s="27">
      <c r="A411" s="25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2.75" customHeight="1" s="27">
      <c r="A412" s="25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2.75" customHeight="1" s="27">
      <c r="A413" s="25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2.75" customHeight="1" s="27">
      <c r="A414" s="25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2.75" customHeight="1" s="27">
      <c r="A415" s="25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2.75" customHeight="1" s="27">
      <c r="A416" s="25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2.75" customHeight="1" s="27">
      <c r="A417" s="25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2.75" customHeight="1" s="27">
      <c r="A418" s="25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2.75" customHeight="1" s="27">
      <c r="A419" s="25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2.75" customHeight="1" s="27">
      <c r="A420" s="25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2.75" customHeight="1" s="27">
      <c r="A421" s="25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2.75" customHeight="1" s="27">
      <c r="A422" s="25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2.75" customHeight="1" s="27">
      <c r="A423" s="25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2.75" customHeight="1" s="27">
      <c r="A424" s="25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2.75" customHeight="1" s="27">
      <c r="A425" s="25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2.75" customHeight="1" s="27">
      <c r="A426" s="25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2.75" customHeight="1" s="27">
      <c r="A427" s="25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2.75" customHeight="1" s="27">
      <c r="A428" s="25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2.75" customHeight="1" s="27">
      <c r="A429" s="25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2.75" customHeight="1" s="27">
      <c r="A430" s="25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2.75" customHeight="1" s="27">
      <c r="A431" s="25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2.75" customHeight="1" s="27">
      <c r="A432" s="25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2.75" customHeight="1" s="27">
      <c r="A433" s="25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2.75" customHeight="1" s="27">
      <c r="A434" s="25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2.75" customHeight="1" s="27">
      <c r="A435" s="25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2.75" customHeight="1" s="27">
      <c r="A436" s="25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2.75" customHeight="1" s="27">
      <c r="A437" s="25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2.75" customHeight="1" s="27">
      <c r="A438" s="25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2.75" customHeight="1" s="27">
      <c r="A439" s="25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2.75" customHeight="1" s="27">
      <c r="A440" s="25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2.75" customHeight="1" s="27">
      <c r="A441" s="25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2.75" customHeight="1" s="27">
      <c r="A442" s="25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2.75" customHeight="1" s="27">
      <c r="A443" s="25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2.75" customHeight="1" s="27">
      <c r="A444" s="25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2.75" customHeight="1" s="27">
      <c r="A445" s="25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2.75" customHeight="1" s="27">
      <c r="A446" s="25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2.75" customHeight="1" s="27">
      <c r="A447" s="25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2.75" customHeight="1" s="27">
      <c r="A448" s="25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2.75" customHeight="1" s="27">
      <c r="A449" s="25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2.75" customHeight="1" s="27">
      <c r="A450" s="25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2.75" customHeight="1" s="27">
      <c r="A451" s="25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2.75" customHeight="1" s="27">
      <c r="A452" s="25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2.75" customHeight="1" s="27">
      <c r="A453" s="25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2.75" customHeight="1" s="27">
      <c r="A454" s="25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2.75" customHeight="1" s="27">
      <c r="A455" s="25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2.75" customHeight="1" s="27">
      <c r="A456" s="25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2.75" customHeight="1" s="27">
      <c r="A457" s="25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2.75" customHeight="1" s="27">
      <c r="A458" s="25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2.75" customHeight="1" s="27">
      <c r="A459" s="25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2.75" customHeight="1" s="27">
      <c r="A460" s="25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2.75" customHeight="1" s="27">
      <c r="A461" s="25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2.75" customHeight="1" s="27">
      <c r="A462" s="25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2.75" customHeight="1" s="27">
      <c r="A463" s="25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2.75" customHeight="1" s="27">
      <c r="A464" s="25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2.75" customHeight="1" s="27">
      <c r="A465" s="25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2.75" customHeight="1" s="27">
      <c r="A466" s="25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2.75" customHeight="1" s="27">
      <c r="A467" s="25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2.75" customHeight="1" s="27">
      <c r="A468" s="25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2.75" customHeight="1" s="27">
      <c r="A469" s="25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2.75" customHeight="1" s="27">
      <c r="A470" s="25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2.75" customHeight="1" s="27">
      <c r="A471" s="25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2.75" customHeight="1" s="27">
      <c r="A472" s="25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2.75" customHeight="1" s="27">
      <c r="A473" s="25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2.75" customHeight="1" s="27">
      <c r="A474" s="25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2.75" customHeight="1" s="27">
      <c r="A475" s="25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2.75" customHeight="1" s="27">
      <c r="A476" s="25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2.75" customHeight="1" s="27">
      <c r="A477" s="25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2.75" customHeight="1" s="27">
      <c r="A478" s="25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2.75" customHeight="1" s="27">
      <c r="A479" s="25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2.75" customHeight="1" s="27">
      <c r="A480" s="25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2.75" customHeight="1" s="27">
      <c r="A481" s="25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2.75" customHeight="1" s="27">
      <c r="A482" s="25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2.75" customHeight="1" s="27">
      <c r="A483" s="25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2.75" customHeight="1" s="27">
      <c r="A484" s="25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2.75" customHeight="1" s="27">
      <c r="A485" s="25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2.75" customHeight="1" s="27">
      <c r="A486" s="25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2.75" customHeight="1" s="27">
      <c r="A487" s="25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2.75" customHeight="1" s="27">
      <c r="A488" s="25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2.75" customHeight="1" s="27">
      <c r="A489" s="25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2.75" customHeight="1" s="27">
      <c r="A490" s="25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2.75" customHeight="1" s="27">
      <c r="A491" s="25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2.75" customHeight="1" s="27">
      <c r="A492" s="25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2.75" customHeight="1" s="27">
      <c r="A493" s="25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2.75" customHeight="1" s="27">
      <c r="A494" s="25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2.75" customHeight="1" s="27">
      <c r="A495" s="25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2.75" customHeight="1" s="27">
      <c r="A496" s="25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2.75" customHeight="1" s="27">
      <c r="A497" s="25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2.75" customHeight="1" s="27">
      <c r="A498" s="25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2.75" customHeight="1" s="27">
      <c r="A499" s="25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2.75" customHeight="1" s="27">
      <c r="A500" s="25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2.75" customHeight="1" s="27">
      <c r="A501" s="25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2.75" customHeight="1" s="27">
      <c r="A502" s="25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2.75" customHeight="1" s="27">
      <c r="A503" s="25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2.75" customHeight="1" s="27">
      <c r="A504" s="25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2.75" customHeight="1" s="27">
      <c r="A505" s="25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2.75" customHeight="1" s="27">
      <c r="A506" s="25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2.75" customHeight="1" s="27">
      <c r="A507" s="25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2.75" customHeight="1" s="27">
      <c r="A508" s="25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2.75" customHeight="1" s="27">
      <c r="A509" s="25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2.75" customHeight="1" s="27">
      <c r="A510" s="25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2.75" customHeight="1" s="27">
      <c r="A511" s="25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2.75" customHeight="1" s="27">
      <c r="A512" s="25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2.75" customHeight="1" s="27">
      <c r="A513" s="25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2.75" customHeight="1" s="27">
      <c r="A514" s="25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2.75" customHeight="1" s="27">
      <c r="A515" s="25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2.75" customHeight="1" s="27">
      <c r="A516" s="25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2.75" customHeight="1" s="27">
      <c r="A517" s="25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2.75" customHeight="1" s="27">
      <c r="A518" s="25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2.75" customHeight="1" s="27">
      <c r="A519" s="25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2.75" customHeight="1" s="27">
      <c r="A520" s="25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2.75" customHeight="1" s="27">
      <c r="A521" s="25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2.75" customHeight="1" s="27">
      <c r="A522" s="25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2.75" customHeight="1" s="27">
      <c r="A523" s="25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2.75" customHeight="1" s="27">
      <c r="A524" s="25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2.75" customHeight="1" s="27">
      <c r="A525" s="25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2.75" customHeight="1" s="27">
      <c r="A526" s="25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2.75" customHeight="1" s="27">
      <c r="A527" s="25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2.75" customHeight="1" s="27">
      <c r="A528" s="25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2.75" customHeight="1" s="27">
      <c r="A529" s="25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2.75" customHeight="1" s="27">
      <c r="A530" s="25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2.75" customHeight="1" s="27">
      <c r="A531" s="25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2.75" customHeight="1" s="27">
      <c r="A532" s="25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2.75" customHeight="1" s="27">
      <c r="A533" s="25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2.75" customHeight="1" s="27">
      <c r="A534" s="25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2.75" customHeight="1" s="27">
      <c r="A535" s="25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2.75" customHeight="1" s="27">
      <c r="A536" s="25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2.75" customHeight="1" s="27">
      <c r="A537" s="25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2.75" customHeight="1" s="27">
      <c r="A538" s="25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2.75" customHeight="1" s="27">
      <c r="A539" s="25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2.75" customHeight="1" s="27">
      <c r="A540" s="25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2.75" customHeight="1" s="27">
      <c r="A541" s="25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2.75" customHeight="1" s="27">
      <c r="A542" s="25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2.75" customHeight="1" s="27">
      <c r="A543" s="25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2.75" customHeight="1" s="27">
      <c r="A544" s="25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2.75" customHeight="1" s="27">
      <c r="A545" s="25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2.75" customHeight="1" s="27">
      <c r="A546" s="25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2.75" customHeight="1" s="27">
      <c r="A547" s="25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2.75" customHeight="1" s="27">
      <c r="A548" s="25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2.75" customHeight="1" s="27">
      <c r="A549" s="25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2.75" customHeight="1" s="27">
      <c r="A550" s="25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2.75" customHeight="1" s="27">
      <c r="A551" s="25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2.75" customHeight="1" s="27">
      <c r="A552" s="25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2.75" customHeight="1" s="27">
      <c r="A553" s="25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2.75" customHeight="1" s="27">
      <c r="A554" s="25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2.75" customHeight="1" s="27">
      <c r="A555" s="25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2.75" customHeight="1" s="27">
      <c r="A556" s="25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2.75" customHeight="1" s="27">
      <c r="A557" s="25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2.75" customHeight="1" s="27">
      <c r="A558" s="25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2.75" customHeight="1" s="27">
      <c r="A559" s="25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2.75" customHeight="1" s="27">
      <c r="A560" s="25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2.75" customHeight="1" s="27">
      <c r="A561" s="25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2.75" customHeight="1" s="27">
      <c r="A562" s="25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2.75" customHeight="1" s="27">
      <c r="A563" s="25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2.75" customHeight="1" s="27">
      <c r="A564" s="25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2.75" customHeight="1" s="27">
      <c r="A565" s="25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2.75" customHeight="1" s="27">
      <c r="A566" s="25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2.75" customHeight="1" s="27">
      <c r="A567" s="25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2.75" customHeight="1" s="27">
      <c r="A568" s="25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2.75" customHeight="1" s="27">
      <c r="A569" s="25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2.75" customHeight="1" s="27">
      <c r="A570" s="25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2.75" customHeight="1" s="27">
      <c r="A571" s="25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2.75" customHeight="1" s="27">
      <c r="A572" s="25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2.75" customHeight="1" s="27">
      <c r="A573" s="25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2.75" customHeight="1" s="27">
      <c r="A574" s="25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2.75" customHeight="1" s="27">
      <c r="A575" s="25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2.75" customHeight="1" s="27">
      <c r="A576" s="25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2.75" customHeight="1" s="27">
      <c r="A577" s="25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2.75" customHeight="1" s="27">
      <c r="A578" s="25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2.75" customHeight="1" s="27">
      <c r="A579" s="25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2.75" customHeight="1" s="27">
      <c r="A580" s="25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2.75" customHeight="1" s="27">
      <c r="A581" s="25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2.75" customHeight="1" s="27">
      <c r="A582" s="25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2.75" customHeight="1" s="27">
      <c r="A583" s="25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2.75" customHeight="1" s="27">
      <c r="A584" s="25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2.75" customHeight="1" s="27">
      <c r="A585" s="25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2.75" customHeight="1" s="27">
      <c r="A586" s="25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2.75" customHeight="1" s="27">
      <c r="A587" s="25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2.75" customHeight="1" s="27">
      <c r="A588" s="25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2.75" customHeight="1" s="27">
      <c r="A589" s="25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2.75" customHeight="1" s="27">
      <c r="A590" s="25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2.75" customHeight="1" s="27">
      <c r="A591" s="25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2.75" customHeight="1" s="27">
      <c r="A592" s="25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2.75" customHeight="1" s="27">
      <c r="A593" s="25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2.75" customHeight="1" s="27">
      <c r="A594" s="25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2.75" customHeight="1" s="27">
      <c r="A595" s="25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2.75" customHeight="1" s="27">
      <c r="A596" s="25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2.75" customHeight="1" s="27">
      <c r="A597" s="25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2.75" customHeight="1" s="27">
      <c r="A598" s="25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2.75" customHeight="1" s="27">
      <c r="A599" s="25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2.75" customHeight="1" s="27">
      <c r="A600" s="25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2.75" customHeight="1" s="27">
      <c r="A601" s="25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2.75" customHeight="1" s="27">
      <c r="A602" s="25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2.75" customHeight="1" s="27">
      <c r="A603" s="25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2.75" customHeight="1" s="27">
      <c r="A604" s="25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2.75" customHeight="1" s="27">
      <c r="A605" s="25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2.75" customHeight="1" s="27">
      <c r="A606" s="25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2.75" customHeight="1" s="27">
      <c r="A607" s="25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2.75" customHeight="1" s="27">
      <c r="A608" s="25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2.75" customHeight="1" s="27">
      <c r="A609" s="25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2.75" customHeight="1" s="27">
      <c r="A610" s="25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2.75" customHeight="1" s="27">
      <c r="A611" s="25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2.75" customHeight="1" s="27">
      <c r="A612" s="25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2.75" customHeight="1" s="27">
      <c r="A613" s="25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2.75" customHeight="1" s="27">
      <c r="A614" s="25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2.75" customHeight="1" s="27">
      <c r="A615" s="25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2.75" customHeight="1" s="27">
      <c r="A616" s="25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2.75" customHeight="1" s="27">
      <c r="A617" s="25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2.75" customHeight="1" s="27">
      <c r="A618" s="25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2.75" customHeight="1" s="27">
      <c r="A619" s="25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2.75" customHeight="1" s="27">
      <c r="A620" s="25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2.75" customHeight="1" s="27">
      <c r="A621" s="25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2.75" customHeight="1" s="27">
      <c r="A622" s="25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2.75" customHeight="1" s="27">
      <c r="A623" s="25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2.75" customHeight="1" s="27">
      <c r="A624" s="25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2.75" customHeight="1" s="27">
      <c r="A625" s="25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2.75" customHeight="1" s="27">
      <c r="A626" s="25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2.75" customHeight="1" s="27">
      <c r="A627" s="25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2.75" customHeight="1" s="27">
      <c r="A628" s="25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2.75" customHeight="1" s="27">
      <c r="A629" s="25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2.75" customHeight="1" s="27">
      <c r="A630" s="25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2.75" customHeight="1" s="27">
      <c r="A631" s="25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2.75" customHeight="1" s="27">
      <c r="A632" s="25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2.75" customHeight="1" s="27">
      <c r="A633" s="25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2.75" customHeight="1" s="27">
      <c r="A634" s="25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2.75" customHeight="1" s="27">
      <c r="A635" s="25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2.75" customHeight="1" s="27">
      <c r="A636" s="25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2.75" customHeight="1" s="27">
      <c r="A637" s="25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2.75" customHeight="1" s="27">
      <c r="A638" s="25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2.75" customHeight="1" s="27">
      <c r="A639" s="25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2.75" customHeight="1" s="27">
      <c r="A640" s="25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2.75" customHeight="1" s="27">
      <c r="A641" s="25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2.75" customHeight="1" s="27">
      <c r="A642" s="25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2.75" customHeight="1" s="27">
      <c r="A643" s="25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2.75" customHeight="1" s="27">
      <c r="A644" s="25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2.75" customHeight="1" s="27">
      <c r="A645" s="25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2.75" customHeight="1" s="27">
      <c r="A646" s="25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2.75" customHeight="1" s="27">
      <c r="A647" s="25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2.75" customHeight="1" s="27">
      <c r="A648" s="25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2.75" customHeight="1" s="27">
      <c r="A649" s="25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2.75" customHeight="1" s="27">
      <c r="A650" s="25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2.75" customHeight="1" s="27">
      <c r="A651" s="25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2.75" customHeight="1" s="27">
      <c r="A652" s="25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2.75" customHeight="1" s="27">
      <c r="A653" s="25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2.75" customHeight="1" s="27">
      <c r="A654" s="25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2.75" customHeight="1" s="27">
      <c r="A655" s="25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2.75" customHeight="1" s="27">
      <c r="A656" s="25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2.75" customHeight="1" s="27">
      <c r="A657" s="25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2.75" customHeight="1" s="27">
      <c r="A658" s="25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2.75" customHeight="1" s="27">
      <c r="A659" s="25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2.75" customHeight="1" s="27">
      <c r="A660" s="25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2.75" customHeight="1" s="27">
      <c r="A661" s="25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2.75" customHeight="1" s="27">
      <c r="A662" s="25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2.75" customHeight="1" s="27">
      <c r="A663" s="25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2.75" customHeight="1" s="27">
      <c r="A664" s="25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2.75" customHeight="1" s="27">
      <c r="A665" s="25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2.75" customHeight="1" s="27">
      <c r="A666" s="25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2.75" customHeight="1" s="27">
      <c r="A667" s="25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2.75" customHeight="1" s="27">
      <c r="A668" s="25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2.75" customHeight="1" s="27">
      <c r="A669" s="25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2.75" customHeight="1" s="27">
      <c r="A670" s="25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2.75" customHeight="1" s="27">
      <c r="A671" s="25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2.75" customHeight="1" s="27">
      <c r="A672" s="25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2.75" customHeight="1" s="27">
      <c r="A673" s="25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2.75" customHeight="1" s="27">
      <c r="A674" s="25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2.75" customHeight="1" s="27">
      <c r="A675" s="25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2.75" customHeight="1" s="27">
      <c r="A676" s="25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2.75" customHeight="1" s="27">
      <c r="A677" s="25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2.75" customHeight="1" s="27">
      <c r="A678" s="25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2.75" customHeight="1" s="27">
      <c r="A679" s="25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2.75" customHeight="1" s="27">
      <c r="A680" s="25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2.75" customHeight="1" s="27">
      <c r="A681" s="25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2.75" customHeight="1" s="27">
      <c r="A682" s="25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2.75" customHeight="1" s="27">
      <c r="A683" s="25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2.75" customHeight="1" s="27">
      <c r="A684" s="25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2.75" customHeight="1" s="27">
      <c r="A685" s="25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2.75" customHeight="1" s="27">
      <c r="A686" s="25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2.75" customHeight="1" s="27">
      <c r="A687" s="25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2.75" customHeight="1" s="27">
      <c r="A688" s="25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2.75" customHeight="1" s="27">
      <c r="A689" s="25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2.75" customHeight="1" s="27">
      <c r="A690" s="25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2.75" customHeight="1" s="27">
      <c r="A691" s="25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2.75" customHeight="1" s="27">
      <c r="A692" s="25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2.75" customHeight="1" s="27">
      <c r="A693" s="25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2.75" customHeight="1" s="27">
      <c r="A694" s="25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2.75" customHeight="1" s="27">
      <c r="A695" s="25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2.75" customHeight="1" s="27">
      <c r="A696" s="25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2.75" customHeight="1" s="27">
      <c r="A697" s="25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2.75" customHeight="1" s="27">
      <c r="A698" s="25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2.75" customHeight="1" s="27">
      <c r="A699" s="25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2.75" customHeight="1" s="27">
      <c r="A700" s="25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2.75" customHeight="1" s="27">
      <c r="A701" s="25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2.75" customHeight="1" s="27">
      <c r="A702" s="25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2.75" customHeight="1" s="27">
      <c r="A703" s="25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2.75" customHeight="1" s="27">
      <c r="A704" s="25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2.75" customHeight="1" s="27">
      <c r="A705" s="25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2.75" customHeight="1" s="27">
      <c r="A706" s="25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2.75" customHeight="1" s="27">
      <c r="A707" s="25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2.75" customHeight="1" s="27">
      <c r="A708" s="25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2.75" customHeight="1" s="27">
      <c r="A709" s="25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2.75" customHeight="1" s="27">
      <c r="A710" s="25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2.75" customHeight="1" s="27">
      <c r="A711" s="25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2.75" customHeight="1" s="27">
      <c r="A712" s="25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2.75" customHeight="1" s="27">
      <c r="A713" s="25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2.75" customHeight="1" s="27">
      <c r="A714" s="25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2.75" customHeight="1" s="27">
      <c r="A715" s="25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2.75" customHeight="1" s="27">
      <c r="A716" s="25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2.75" customHeight="1" s="27">
      <c r="A717" s="25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2.75" customHeight="1" s="27">
      <c r="A718" s="25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2.75" customHeight="1" s="27">
      <c r="A719" s="25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2.75" customHeight="1" s="27">
      <c r="A720" s="25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2.75" customHeight="1" s="27">
      <c r="A721" s="25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2.75" customHeight="1" s="27">
      <c r="A722" s="25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2.75" customHeight="1" s="27">
      <c r="A723" s="25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2.75" customHeight="1" s="27">
      <c r="A724" s="25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2.75" customHeight="1" s="27">
      <c r="A725" s="25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2.75" customHeight="1" s="27">
      <c r="A726" s="25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2.75" customHeight="1" s="27">
      <c r="A727" s="25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2.75" customHeight="1" s="27">
      <c r="A728" s="25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2.75" customHeight="1" s="27">
      <c r="A729" s="25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2.75" customHeight="1" s="27">
      <c r="A730" s="25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2.75" customHeight="1" s="27">
      <c r="A731" s="25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2.75" customHeight="1" s="27">
      <c r="A732" s="25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2.75" customHeight="1" s="27">
      <c r="A733" s="25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2.75" customHeight="1" s="27">
      <c r="A734" s="25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2.75" customHeight="1" s="27">
      <c r="A735" s="25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2.75" customHeight="1" s="27">
      <c r="A736" s="25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2.75" customHeight="1" s="27">
      <c r="A737" s="25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2.75" customHeight="1" s="27">
      <c r="A738" s="25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2.75" customHeight="1" s="27">
      <c r="A739" s="25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2.75" customHeight="1" s="27">
      <c r="A740" s="25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2.75" customHeight="1" s="27">
      <c r="A741" s="25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2.75" customHeight="1" s="27">
      <c r="A742" s="25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2.75" customHeight="1" s="27">
      <c r="A743" s="25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2.75" customHeight="1" s="27">
      <c r="A744" s="25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2.75" customHeight="1" s="27">
      <c r="A745" s="25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2.75" customHeight="1" s="27">
      <c r="A746" s="25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2.75" customHeight="1" s="27">
      <c r="A747" s="25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2.75" customHeight="1" s="27">
      <c r="A748" s="25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2.75" customHeight="1" s="27">
      <c r="A749" s="25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2.75" customHeight="1" s="27">
      <c r="A750" s="25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2.75" customHeight="1" s="27">
      <c r="A751" s="25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2.75" customHeight="1" s="27">
      <c r="A752" s="25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2.75" customHeight="1" s="27">
      <c r="A753" s="25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2.75" customHeight="1" s="27">
      <c r="A754" s="25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2.75" customHeight="1" s="27">
      <c r="A755" s="25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2.75" customHeight="1" s="27">
      <c r="A756" s="25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2.75" customHeight="1" s="27">
      <c r="A757" s="25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2.75" customHeight="1" s="27">
      <c r="A758" s="25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2.75" customHeight="1" s="27">
      <c r="A759" s="25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2.75" customHeight="1" s="27">
      <c r="A760" s="25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2.75" customHeight="1" s="27">
      <c r="A761" s="25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2.75" customHeight="1" s="27">
      <c r="A762" s="25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2.75" customHeight="1" s="27">
      <c r="A763" s="25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2.75" customHeight="1" s="27">
      <c r="A764" s="25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2.75" customHeight="1" s="27">
      <c r="A765" s="25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2.75" customHeight="1" s="27">
      <c r="A766" s="25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2.75" customHeight="1" s="27">
      <c r="A767" s="25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2.75" customHeight="1" s="27">
      <c r="A768" s="25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2.75" customHeight="1" s="27">
      <c r="A769" s="25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2.75" customHeight="1" s="27">
      <c r="A770" s="25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2.75" customHeight="1" s="27">
      <c r="A771" s="25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2.75" customHeight="1" s="27">
      <c r="A772" s="25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2.75" customHeight="1" s="27">
      <c r="A773" s="25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2.75" customHeight="1" s="27">
      <c r="A774" s="25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2.75" customHeight="1" s="27">
      <c r="A775" s="25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2.75" customHeight="1" s="27">
      <c r="A776" s="25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2.75" customHeight="1" s="27">
      <c r="A777" s="25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2.75" customHeight="1" s="27">
      <c r="A778" s="25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2.75" customHeight="1" s="27">
      <c r="A779" s="25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2.75" customHeight="1" s="27">
      <c r="A780" s="25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2.75" customHeight="1" s="27">
      <c r="A781" s="25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2.75" customHeight="1" s="27">
      <c r="A782" s="25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2.75" customHeight="1" s="27">
      <c r="A783" s="25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2.75" customHeight="1" s="27">
      <c r="A784" s="25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2.75" customHeight="1" s="27">
      <c r="A785" s="25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2.75" customHeight="1" s="27">
      <c r="A786" s="25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2.75" customHeight="1" s="27">
      <c r="A787" s="25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2.75" customHeight="1" s="27">
      <c r="A788" s="25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2.75" customHeight="1" s="27">
      <c r="A789" s="25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2.75" customHeight="1" s="27">
      <c r="A790" s="25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2.75" customHeight="1" s="27">
      <c r="A791" s="25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2.75" customHeight="1" s="27">
      <c r="A792" s="25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2.75" customHeight="1" s="27">
      <c r="A793" s="25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2.75" customHeight="1" s="27">
      <c r="A794" s="25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2.75" customHeight="1" s="27">
      <c r="A795" s="25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2.75" customHeight="1" s="27">
      <c r="A796" s="25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2.75" customHeight="1" s="27">
      <c r="A797" s="25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2.75" customHeight="1" s="27">
      <c r="A798" s="25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2.75" customHeight="1" s="27">
      <c r="A799" s="25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2.75" customHeight="1" s="27">
      <c r="A800" s="25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2.75" customHeight="1" s="27">
      <c r="A801" s="25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2.75" customHeight="1" s="27">
      <c r="A802" s="25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2.75" customHeight="1" s="27">
      <c r="A803" s="25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2.75" customHeight="1" s="27">
      <c r="A804" s="25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2.75" customHeight="1" s="27">
      <c r="A805" s="25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2.75" customHeight="1" s="27">
      <c r="A806" s="25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2.75" customHeight="1" s="27">
      <c r="A807" s="25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2.75" customHeight="1" s="27">
      <c r="A808" s="25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2.75" customHeight="1" s="27">
      <c r="A809" s="25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2.75" customHeight="1" s="27">
      <c r="A810" s="25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2.75" customHeight="1" s="27">
      <c r="A811" s="25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2.75" customHeight="1" s="27">
      <c r="A812" s="25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2.75" customHeight="1" s="27">
      <c r="A813" s="25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2.75" customHeight="1" s="27">
      <c r="A814" s="25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2.75" customHeight="1" s="27">
      <c r="A815" s="25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2.75" customHeight="1" s="27">
      <c r="A816" s="25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2.75" customHeight="1" s="27">
      <c r="A817" s="25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2.75" customHeight="1" s="27">
      <c r="A818" s="25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2.75" customHeight="1" s="27">
      <c r="A819" s="25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2.75" customHeight="1" s="27">
      <c r="A820" s="25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2.75" customHeight="1" s="27">
      <c r="A821" s="25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2.75" customHeight="1" s="27">
      <c r="A822" s="25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2.75" customHeight="1" s="27">
      <c r="A823" s="25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2.75" customHeight="1" s="27">
      <c r="A824" s="25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2.75" customHeight="1" s="27">
      <c r="A825" s="25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2.75" customHeight="1" s="27">
      <c r="A826" s="25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2.75" customHeight="1" s="27">
      <c r="A827" s="25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2.75" customHeight="1" s="27">
      <c r="A828" s="25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2.75" customHeight="1" s="27">
      <c r="A829" s="25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2.75" customHeight="1" s="27">
      <c r="A830" s="25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2.75" customHeight="1" s="27">
      <c r="A831" s="25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2.75" customHeight="1" s="27">
      <c r="A832" s="25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2.75" customHeight="1" s="27">
      <c r="A833" s="25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2.75" customHeight="1" s="27">
      <c r="A834" s="25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2.75" customHeight="1" s="27">
      <c r="A835" s="25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2.75" customHeight="1" s="27">
      <c r="A836" s="25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2.75" customHeight="1" s="27">
      <c r="A837" s="25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2.75" customHeight="1" s="27">
      <c r="A838" s="25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2.75" customHeight="1" s="27">
      <c r="A839" s="25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2.75" customHeight="1" s="27">
      <c r="A840" s="25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2.75" customHeight="1" s="27">
      <c r="A841" s="25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2.75" customHeight="1" s="27">
      <c r="A842" s="25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2.75" customHeight="1" s="27">
      <c r="A843" s="25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2.75" customHeight="1" s="27">
      <c r="A844" s="25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2.75" customHeight="1" s="27">
      <c r="A845" s="25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2.75" customHeight="1" s="27">
      <c r="A846" s="25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2.75" customHeight="1" s="27">
      <c r="A847" s="25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2.75" customHeight="1" s="27">
      <c r="A848" s="25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2.75" customHeight="1" s="27">
      <c r="A849" s="25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2.75" customHeight="1" s="27">
      <c r="A850" s="25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2.75" customHeight="1" s="27">
      <c r="A851" s="25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2.75" customHeight="1" s="27">
      <c r="A852" s="25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2.75" customHeight="1" s="27">
      <c r="A853" s="25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2.75" customHeight="1" s="27">
      <c r="A854" s="25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2.75" customHeight="1" s="27">
      <c r="A855" s="25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2.75" customHeight="1" s="27">
      <c r="A856" s="25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2.75" customHeight="1" s="27">
      <c r="A857" s="25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2.75" customHeight="1" s="27">
      <c r="A858" s="25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2.75" customHeight="1" s="27">
      <c r="A859" s="25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2.75" customHeight="1" s="27">
      <c r="A860" s="25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2.75" customHeight="1" s="27">
      <c r="A861" s="25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2.75" customHeight="1" s="27">
      <c r="A862" s="25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2.75" customHeight="1" s="27">
      <c r="A863" s="25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2.75" customHeight="1" s="27">
      <c r="A864" s="25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2.75" customHeight="1" s="27">
      <c r="A865" s="25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2.75" customHeight="1" s="27">
      <c r="A866" s="25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2.75" customHeight="1" s="27">
      <c r="A867" s="25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2.75" customHeight="1" s="27">
      <c r="A868" s="25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2.75" customHeight="1" s="27">
      <c r="A869" s="25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2.75" customHeight="1" s="27">
      <c r="A870" s="25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2.75" customHeight="1" s="27">
      <c r="A871" s="25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2.75" customHeight="1" s="27">
      <c r="A872" s="25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2.75" customHeight="1" s="27">
      <c r="A873" s="25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2.75" customHeight="1" s="27">
      <c r="A874" s="25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2.75" customHeight="1" s="27">
      <c r="A875" s="25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2.75" customHeight="1" s="27">
      <c r="A876" s="25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2.75" customHeight="1" s="27">
      <c r="A877" s="25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2.75" customHeight="1" s="27">
      <c r="A878" s="25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2.75" customHeight="1" s="27">
      <c r="A879" s="25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2.75" customHeight="1" s="27">
      <c r="A880" s="25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2.75" customHeight="1" s="27">
      <c r="A881" s="25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2.75" customHeight="1" s="27">
      <c r="A882" s="25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2.75" customHeight="1" s="27">
      <c r="A883" s="25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2.75" customHeight="1" s="27">
      <c r="A884" s="25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2.75" customHeight="1" s="27">
      <c r="A885" s="25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2.75" customHeight="1" s="27">
      <c r="A886" s="25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2.75" customHeight="1" s="27">
      <c r="A887" s="25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2.75" customHeight="1" s="27">
      <c r="A888" s="25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2.75" customHeight="1" s="27">
      <c r="A889" s="25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2.75" customHeight="1" s="27">
      <c r="A890" s="25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2.75" customHeight="1" s="27">
      <c r="A891" s="25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2.75" customHeight="1" s="27">
      <c r="A892" s="25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2.75" customHeight="1" s="27">
      <c r="A893" s="25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2.75" customHeight="1" s="27">
      <c r="A894" s="25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2.75" customHeight="1" s="27">
      <c r="A895" s="25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2.75" customHeight="1" s="27">
      <c r="A896" s="25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2.75" customHeight="1" s="27">
      <c r="A897" s="25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2.75" customHeight="1" s="27">
      <c r="A898" s="25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2.75" customHeight="1" s="27">
      <c r="A899" s="25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2.75" customHeight="1" s="27">
      <c r="A900" s="25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2.75" customHeight="1" s="27">
      <c r="A901" s="25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2.75" customHeight="1" s="27">
      <c r="A902" s="25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2.75" customHeight="1" s="27">
      <c r="A903" s="25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2.75" customHeight="1" s="27">
      <c r="A904" s="25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2.75" customHeight="1" s="27">
      <c r="A905" s="25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2.75" customHeight="1" s="27">
      <c r="A906" s="25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2.75" customHeight="1" s="27">
      <c r="A907" s="25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2.75" customHeight="1" s="27">
      <c r="A908" s="25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2.75" customHeight="1" s="27">
      <c r="A909" s="25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2.75" customHeight="1" s="27">
      <c r="A910" s="25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2.75" customHeight="1" s="27">
      <c r="A911" s="25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2.75" customHeight="1" s="27">
      <c r="A912" s="25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2.75" customHeight="1" s="27">
      <c r="A913" s="25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2.75" customHeight="1" s="27">
      <c r="A914" s="25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2.75" customHeight="1" s="27">
      <c r="A915" s="25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2.75" customHeight="1" s="27">
      <c r="A916" s="25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2.75" customHeight="1" s="27">
      <c r="A917" s="25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</sheetData>
  <dataValidations count="3">
    <dataValidation sqref="L5:L52" showDropDown="0" showInputMessage="0" showErrorMessage="1" allowBlank="1" type="list">
      <formula1>"Simple,Medium,Complex"</formula1>
    </dataValidation>
    <dataValidation sqref="M5:M52" showDropDown="0" showInputMessage="0" showErrorMessage="1" allowBlank="1" type="list">
      <formula1>"Low,Medium,High"</formula1>
    </dataValidation>
    <dataValidation sqref="F5:F52" showDropDown="0" showInputMessage="0" showErrorMessage="1" allowBlank="1" type="list">
      <formula1>"To Do,Doing,Done"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Right="0"/>
    <pageSetUpPr/>
  </sheetPr>
  <dimension ref="A1:Z88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1.22" defaultRowHeight="15" customHeight="1"/>
  <cols>
    <col width="3" customWidth="1" style="27" min="1" max="1"/>
    <col width="20.11" customWidth="1" style="27" min="2" max="2"/>
    <col width="13.22" customWidth="1" style="27" min="3" max="3"/>
    <col outlineLevel="1" width="34.22" customWidth="1" style="27" min="4" max="4"/>
    <col width="15" customWidth="1" style="27" min="5" max="5"/>
    <col width="9.220000000000001" customWidth="1" style="27" min="6" max="6"/>
    <col width="5.33" customWidth="1" style="27" min="7" max="7"/>
    <col collapsed="1" width="5.89" customWidth="1" style="27" min="8" max="8"/>
    <col hidden="1" outlineLevel="1" width="44.11" customWidth="1" style="27" min="9" max="9"/>
    <col width="5.67" customWidth="1" style="27" min="10" max="10"/>
    <col outlineLevel="1" width="18.11" customWidth="1" style="27" min="11" max="11"/>
    <col outlineLevel="1" width="9.67" customWidth="1" style="27" min="12" max="13"/>
    <col width="9.44" customWidth="1" style="27" min="14" max="26"/>
  </cols>
  <sheetData>
    <row r="1" ht="18" customHeight="1" s="27">
      <c r="A1" s="26" t="inlineStr">
        <is>
          <t>LOC Evaluation for OrcaXCare (Iteration 4)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5" customHeight="1" s="27">
      <c r="A2" s="4" t="inlineStr">
        <is>
          <t>Main scope (Iteration 4): Operations &amp; closure - Patient complaints (submit, track, admin reply); Revenue dashboard &amp; Excel export; Branch locator (list, detail, map); Email triggers (booking confirmation, reminders); Final UX polish and cross-module fixes.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15" customHeight="1" s="27">
      <c r="A3" s="4" t="inlineStr">
        <is>
          <t>Sprint outcome: Patient can file and track complaints; Admin responds and updates status. Admin views revenue by period/doctor and exports reports. Public branch information is available. System is demo-ready for end-to-end hospital portal scenarios.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2.75" customHeight="1" s="27">
      <c r="A4" s="5" t="inlineStr">
        <is>
          <t>#</t>
        </is>
      </c>
      <c r="B4" s="6" t="inlineStr">
        <is>
          <t>Screen / Function</t>
        </is>
      </c>
      <c r="C4" s="6" t="inlineStr">
        <is>
          <t>Feature</t>
        </is>
      </c>
      <c r="D4" s="6" t="inlineStr">
        <is>
          <t>Screen/Function Description</t>
        </is>
      </c>
      <c r="E4" s="6" t="inlineStr">
        <is>
          <t>In Charge</t>
        </is>
      </c>
      <c r="F4" s="6" t="inlineStr">
        <is>
          <t>Status</t>
        </is>
      </c>
      <c r="G4" s="7" t="inlineStr">
        <is>
          <t>SRS</t>
        </is>
      </c>
      <c r="H4" s="7" t="inlineStr">
        <is>
          <t>SDS</t>
        </is>
      </c>
      <c r="I4" s="6" t="inlineStr">
        <is>
          <t>Notes</t>
        </is>
      </c>
      <c r="J4" s="8" t="inlineStr">
        <is>
          <t>LOC</t>
        </is>
      </c>
      <c r="K4" s="8" t="inlineStr">
        <is>
          <t>Code Demo Comments</t>
        </is>
      </c>
      <c r="L4" s="8" t="inlineStr">
        <is>
          <t>Complexity</t>
        </is>
      </c>
      <c r="M4" s="8" t="inlineStr">
        <is>
          <t>Quality</t>
        </is>
      </c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2.75" customHeight="1" s="27">
      <c r="A5" s="9">
        <f>ROW()-4</f>
        <v/>
      </c>
      <c r="B5" s="14" t="inlineStr">
        <is>
          <t>Send Appointment Reminder</t>
        </is>
      </c>
      <c r="C5" s="14" t="inlineStr">
        <is>
          <t>Notifications</t>
        </is>
      </c>
      <c r="D5" s="16" t="inlineStr">
        <is>
          <t>Scheduled job before appointment. Logged in notification + email stub.</t>
        </is>
      </c>
      <c r="E5" s="13" t="inlineStr">
        <is>
          <t>KhoaNNCE181612</t>
        </is>
      </c>
      <c r="F5" s="14" t="inlineStr">
        <is>
          <t>To Do</t>
        </is>
      </c>
      <c r="G5" s="13" t="n"/>
      <c r="H5" s="13" t="n"/>
      <c r="I5" s="14" t="n"/>
      <c r="J5" s="15">
        <f>IF(L5="Simple",60,IF(L5="Medium",120,240))*IF(M5="Low",50%,IF(M5="Medium",75%,100%))</f>
        <v/>
      </c>
      <c r="K5" s="13" t="n"/>
      <c r="L5" s="13" t="inlineStr">
        <is>
          <t>Simple</t>
        </is>
      </c>
      <c r="M5" s="13" t="inlineStr">
        <is>
          <t>High</t>
        </is>
      </c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2.75" customHeight="1" s="27">
      <c r="A6" s="9">
        <f>ROW()-4</f>
        <v/>
      </c>
      <c r="B6" s="14" t="inlineStr">
        <is>
          <t>Send Results Ready Notification</t>
        </is>
      </c>
      <c r="C6" s="14" t="inlineStr">
        <is>
          <t>Notifications</t>
        </is>
      </c>
      <c r="D6" s="16" t="inlineStr">
        <is>
          <t>When PDF/lab ready. Links to detail.</t>
        </is>
      </c>
      <c r="E6" s="13" t="inlineStr">
        <is>
          <t>TruongNTCE180140</t>
        </is>
      </c>
      <c r="F6" s="14" t="inlineStr">
        <is>
          <t>To Do</t>
        </is>
      </c>
      <c r="G6" s="13" t="n"/>
      <c r="H6" s="13" t="n"/>
      <c r="I6" s="14" t="n"/>
      <c r="J6" s="15">
        <f>IF(L6="Simple",60,IF(L6="Medium",120,240))*IF(M6="Low",50%,IF(M6="Medium",75%,100%))</f>
        <v/>
      </c>
      <c r="K6" s="13" t="n"/>
      <c r="L6" s="13" t="inlineStr">
        <is>
          <t>Simple</t>
        </is>
      </c>
      <c r="M6" s="13" t="inlineStr">
        <is>
          <t>High</t>
        </is>
      </c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12.75" customHeight="1" s="27">
      <c r="A7" s="9">
        <f>ROW()-4</f>
        <v/>
      </c>
      <c r="B7" s="14" t="inlineStr">
        <is>
          <t>Send Booking Confirmation Email</t>
        </is>
      </c>
      <c r="C7" s="14" t="inlineStr">
        <is>
          <t>Notifications</t>
        </is>
      </c>
      <c r="D7" s="16" t="inlineStr">
        <is>
          <t>On successful booking. Contains reference + QR.</t>
        </is>
      </c>
      <c r="E7" s="13" t="inlineStr">
        <is>
          <t>ThangNDCE180608</t>
        </is>
      </c>
      <c r="F7" s="14" t="inlineStr">
        <is>
          <t>To Do</t>
        </is>
      </c>
      <c r="G7" s="13" t="n"/>
      <c r="H7" s="13" t="n"/>
      <c r="I7" s="14" t="n"/>
      <c r="J7" s="15">
        <f>IF(L7="Simple",60,IF(L7="Medium",120,240))*IF(M7="Low",50%,IF(M7="Medium",75%,100%))</f>
        <v/>
      </c>
      <c r="K7" s="13" t="n"/>
      <c r="L7" s="13" t="inlineStr">
        <is>
          <t>Simple</t>
        </is>
      </c>
      <c r="M7" s="13" t="inlineStr">
        <is>
          <t>High</t>
        </is>
      </c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2.75" customHeight="1" s="27">
      <c r="A8" s="9">
        <f>ROW()-4</f>
        <v/>
      </c>
      <c r="B8" s="13" t="inlineStr">
        <is>
          <t>Submit Complaint</t>
        </is>
      </c>
      <c r="C8" s="13" t="inlineStr">
        <is>
          <t>Complaint Management</t>
        </is>
      </c>
      <c r="D8" s="13" t="inlineStr">
        <is>
          <t>Category, description, optional attachment. Ticket type required. Ticket created with unique id. Confirmation shown.</t>
        </is>
      </c>
      <c r="E8" s="13" t="inlineStr">
        <is>
          <t>ThangDQCE182036</t>
        </is>
      </c>
      <c r="F8" s="14" t="inlineStr">
        <is>
          <t>To Do</t>
        </is>
      </c>
      <c r="G8" s="13" t="n"/>
      <c r="H8" s="13" t="n"/>
      <c r="I8" s="13" t="n"/>
      <c r="J8" s="15">
        <f>IF(L8="Simple",60,IF(L8="Medium",120,240))*IF(M8="Low",50%,IF(M8="Medium",75%,100%))</f>
        <v/>
      </c>
      <c r="K8" s="13" t="n"/>
      <c r="L8" s="13" t="inlineStr">
        <is>
          <t>Simple</t>
        </is>
      </c>
      <c r="M8" s="13" t="inlineStr">
        <is>
          <t>High</t>
        </is>
      </c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2.75" customHeight="1" s="27">
      <c r="A9" s="9">
        <f>ROW()-4</f>
        <v/>
      </c>
      <c r="B9" s="13" t="inlineStr">
        <is>
          <t>My Complaints List</t>
        </is>
      </c>
      <c r="C9" s="13" t="inlineStr">
        <is>
          <t>Complaint Management</t>
        </is>
      </c>
      <c r="D9" s="13" t="inlineStr">
        <is>
          <t>Status column and dates. Filter by status.</t>
        </is>
      </c>
      <c r="E9" s="13" t="inlineStr">
        <is>
          <t>ThangDQCE182036</t>
        </is>
      </c>
      <c r="F9" s="14" t="inlineStr">
        <is>
          <t>To Do</t>
        </is>
      </c>
      <c r="G9" s="13" t="n"/>
      <c r="H9" s="13" t="n"/>
      <c r="I9" s="13" t="n"/>
      <c r="J9" s="15">
        <f>IF(L9="Simple",60,IF(L9="Medium",120,240))*IF(M9="Low",50%,IF(M9="Medium",75%,100%))</f>
        <v/>
      </c>
      <c r="K9" s="13" t="n"/>
      <c r="L9" s="13" t="inlineStr">
        <is>
          <t>Medium</t>
        </is>
      </c>
      <c r="M9" s="13" t="inlineStr">
        <is>
          <t>High</t>
        </is>
      </c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2.75" customHeight="1" s="27">
      <c r="A10" s="9">
        <f>ROW()-4</f>
        <v/>
      </c>
      <c r="B10" s="13" t="inlineStr">
        <is>
          <t>Complaint Detail (Patient)</t>
        </is>
      </c>
      <c r="C10" s="13" t="inlineStr">
        <is>
          <t>Complaint Management</t>
        </is>
      </c>
      <c r="D10" s="13" t="inlineStr">
        <is>
          <t>Thread with admin replies. Read-only for patient.</t>
        </is>
      </c>
      <c r="E10" s="13" t="inlineStr">
        <is>
          <t>TanhNTCE182341</t>
        </is>
      </c>
      <c r="F10" s="14" t="inlineStr">
        <is>
          <t>To Do</t>
        </is>
      </c>
      <c r="G10" s="13" t="n"/>
      <c r="H10" s="13" t="n"/>
      <c r="I10" s="13" t="n"/>
      <c r="J10" s="15">
        <f>IF(L10="Simple",60,IF(L10="Medium",120,240))*IF(M10="Low",50%,IF(M10="Medium",75%,100%))</f>
        <v/>
      </c>
      <c r="K10" s="13" t="n"/>
      <c r="L10" s="13" t="inlineStr">
        <is>
          <t>Simple</t>
        </is>
      </c>
      <c r="M10" s="13" t="inlineStr">
        <is>
          <t>High</t>
        </is>
      </c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2.75" customHeight="1" s="27">
      <c r="A11" s="9">
        <f>ROW()-4</f>
        <v/>
      </c>
      <c r="B11" s="13" t="inlineStr">
        <is>
          <t>Complaints List (Admin)</t>
        </is>
      </c>
      <c r="C11" s="13" t="inlineStr">
        <is>
          <t>Complaint Management</t>
        </is>
      </c>
      <c r="D11" s="13" t="inlineStr">
        <is>
          <t>Filter status and date. Assignee column optional.</t>
        </is>
      </c>
      <c r="E11" s="13" t="inlineStr">
        <is>
          <t>KhoaNNCE181612</t>
        </is>
      </c>
      <c r="F11" s="14" t="inlineStr">
        <is>
          <t>To Do</t>
        </is>
      </c>
      <c r="G11" s="13" t="n"/>
      <c r="H11" s="13" t="n"/>
      <c r="I11" s="13" t="n"/>
      <c r="J11" s="15">
        <f>IF(L11="Simple",60,IF(L11="Medium",120,240))*IF(M11="Low",50%,IF(M11="Medium",75%,100%))</f>
        <v/>
      </c>
      <c r="K11" s="13" t="n"/>
      <c r="L11" s="13" t="inlineStr">
        <is>
          <t>Simple</t>
        </is>
      </c>
      <c r="M11" s="13" t="inlineStr">
        <is>
          <t>High</t>
        </is>
      </c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2.75" customHeight="1" s="27">
      <c r="A12" s="9">
        <f>ROW()-4</f>
        <v/>
      </c>
      <c r="B12" s="13" t="inlineStr">
        <is>
          <t>Complaint Detail (Admin)</t>
        </is>
      </c>
      <c r="C12" s="13" t="inlineStr">
        <is>
          <t>Complaint Management</t>
        </is>
      </c>
      <c r="D12" s="13" t="inlineStr">
        <is>
          <t>Full thread and patient info. Status dropdown.</t>
        </is>
      </c>
      <c r="E12" s="13" t="inlineStr">
        <is>
          <t>TruongNTCE180140</t>
        </is>
      </c>
      <c r="F12" s="14" t="inlineStr">
        <is>
          <t>To Do</t>
        </is>
      </c>
      <c r="G12" s="13" t="n"/>
      <c r="H12" s="13" t="n"/>
      <c r="I12" s="13" t="n"/>
      <c r="J12" s="15">
        <f>IF(L12="Simple",60,IF(L12="Medium",120,240))*IF(M12="Low",50%,IF(M12="Medium",75%,100%))</f>
        <v/>
      </c>
      <c r="K12" s="13" t="n"/>
      <c r="L12" s="13" t="inlineStr">
        <is>
          <t>Simple</t>
        </is>
      </c>
      <c r="M12" s="13" t="inlineStr">
        <is>
          <t>High</t>
        </is>
      </c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2.75" customHeight="1" s="27">
      <c r="A13" s="9">
        <f>ROW()-4</f>
        <v/>
      </c>
      <c r="B13" s="13" t="inlineStr">
        <is>
          <t>Reply to Complaint</t>
        </is>
      </c>
      <c r="C13" s="13" t="inlineStr">
        <is>
          <t>Complaint Management</t>
        </is>
      </c>
      <c r="D13" s="13" t="inlineStr">
        <is>
          <t>Admin reply saved to thread. Patient notified stub.</t>
        </is>
      </c>
      <c r="E13" s="13" t="inlineStr">
        <is>
          <t>TanhNTCE182341</t>
        </is>
      </c>
      <c r="F13" s="14" t="inlineStr">
        <is>
          <t>To Do</t>
        </is>
      </c>
      <c r="G13" s="13" t="n"/>
      <c r="H13" s="13" t="n"/>
      <c r="I13" s="13" t="n"/>
      <c r="J13" s="15">
        <f>IF(L13="Simple",60,IF(L13="Medium",120,240))*IF(M13="Low",50%,IF(M13="Medium",75%,100%))</f>
        <v/>
      </c>
      <c r="K13" s="13" t="n"/>
      <c r="L13" s="13" t="inlineStr">
        <is>
          <t>Medium</t>
        </is>
      </c>
      <c r="M13" s="13" t="inlineStr">
        <is>
          <t>High</t>
        </is>
      </c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2.75" customHeight="1" s="27">
      <c r="A14" s="9">
        <f>ROW()-4</f>
        <v/>
      </c>
      <c r="B14" s="13" t="inlineStr">
        <is>
          <t>Update Complaint Status</t>
        </is>
      </c>
      <c r="C14" s="13" t="inlineStr">
        <is>
          <t>Complaint Management</t>
        </is>
      </c>
      <c r="D14" s="13" t="inlineStr">
        <is>
          <t>Open / in progress / resolved. Audit timestamp.</t>
        </is>
      </c>
      <c r="E14" s="13" t="inlineStr">
        <is>
          <t>ThangNDCE180608</t>
        </is>
      </c>
      <c r="F14" s="14" t="inlineStr">
        <is>
          <t>To Do</t>
        </is>
      </c>
      <c r="G14" s="13" t="n"/>
      <c r="H14" s="13" t="n"/>
      <c r="I14" s="13" t="n"/>
      <c r="J14" s="15">
        <f>IF(L14="Simple",60,IF(L14="Medium",120,240))*IF(M14="Low",50%,IF(M14="Medium",75%,100%))</f>
        <v/>
      </c>
      <c r="K14" s="13" t="n"/>
      <c r="L14" s="13" t="inlineStr">
        <is>
          <t>Simple</t>
        </is>
      </c>
      <c r="M14" s="13" t="inlineStr">
        <is>
          <t>High</t>
        </is>
      </c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2.75" customHeight="1" s="27">
      <c r="A15" s="9">
        <f>ROW()-4</f>
        <v/>
      </c>
      <c r="B15" s="13" t="inlineStr">
        <is>
          <t>Revenue Dashboard</t>
        </is>
      </c>
      <c r="C15" s="13" t="inlineStr">
        <is>
          <t>Revenue &amp; Analytics</t>
        </is>
      </c>
      <c r="D15" s="13" t="inlineStr">
        <is>
          <t>Charts by day/week/month. Default last 30 days.</t>
        </is>
      </c>
      <c r="E15" s="13" t="inlineStr">
        <is>
          <t>TanhNTCE182341</t>
        </is>
      </c>
      <c r="F15" s="14" t="inlineStr">
        <is>
          <t>To Do</t>
        </is>
      </c>
      <c r="G15" s="13" t="n"/>
      <c r="H15" s="13" t="n"/>
      <c r="I15" s="13" t="n"/>
      <c r="J15" s="15">
        <f>IF(L15="Simple",60,IF(L15="Medium",120,240))*IF(M15="Low",50%,IF(M15="Medium",75%,100%))</f>
        <v/>
      </c>
      <c r="K15" s="13" t="n"/>
      <c r="L15" s="13" t="inlineStr">
        <is>
          <t>Complex</t>
        </is>
      </c>
      <c r="M15" s="13" t="inlineStr">
        <is>
          <t>High</t>
        </is>
      </c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2.75" customHeight="1" s="27">
      <c r="A16" s="9">
        <f>ROW()-4</f>
        <v/>
      </c>
      <c r="B16" s="13" t="inlineStr">
        <is>
          <t>Filter Revenue by Date Range</t>
        </is>
      </c>
      <c r="C16" s="13" t="inlineStr">
        <is>
          <t>Revenue &amp; Analytics</t>
        </is>
      </c>
      <c r="D16" s="13" t="inlineStr">
        <is>
          <t>From/to date pickers. Chart refreshes.</t>
        </is>
      </c>
      <c r="E16" s="13" t="inlineStr">
        <is>
          <t>ThangDQCE182036</t>
        </is>
      </c>
      <c r="F16" s="14" t="inlineStr">
        <is>
          <t>To Do</t>
        </is>
      </c>
      <c r="G16" s="13" t="n"/>
      <c r="H16" s="13" t="n"/>
      <c r="I16" s="13" t="n"/>
      <c r="J16" s="15">
        <f>IF(L16="Simple",60,IF(L16="Medium",120,240))*IF(M16="Low",50%,IF(M16="Medium",75%,100%))</f>
        <v/>
      </c>
      <c r="K16" s="13" t="n"/>
      <c r="L16" s="13" t="inlineStr">
        <is>
          <t>Simple</t>
        </is>
      </c>
      <c r="M16" s="13" t="inlineStr">
        <is>
          <t>High</t>
        </is>
      </c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2.75" customHeight="1" s="27">
      <c r="A17" s="9">
        <f>ROW()-4</f>
        <v/>
      </c>
      <c r="B17" s="13" t="inlineStr">
        <is>
          <t>Filter Revenue by Doctor</t>
        </is>
      </c>
      <c r="C17" s="13" t="inlineStr">
        <is>
          <t>Revenue &amp; Analytics</t>
        </is>
      </c>
      <c r="D17" s="13" t="inlineStr">
        <is>
          <t>Dropdown doctor filter. Combines with date.</t>
        </is>
      </c>
      <c r="E17" s="13" t="inlineStr">
        <is>
          <t>TanhNTCE182341</t>
        </is>
      </c>
      <c r="F17" s="14" t="inlineStr">
        <is>
          <t>To Do</t>
        </is>
      </c>
      <c r="G17" s="13" t="n"/>
      <c r="H17" s="13" t="n"/>
      <c r="I17" s="13" t="n"/>
      <c r="J17" s="15">
        <f>IF(L17="Simple",60,IF(L17="Medium",120,240))*IF(M17="Low",50%,IF(M17="Medium",75%,100%))</f>
        <v/>
      </c>
      <c r="K17" s="13" t="n"/>
      <c r="L17" s="13" t="inlineStr">
        <is>
          <t>Simple</t>
        </is>
      </c>
      <c r="M17" s="13" t="inlineStr">
        <is>
          <t>High</t>
        </is>
      </c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2.75" customHeight="1" s="27">
      <c r="A18" s="9">
        <f>ROW()-4</f>
        <v/>
      </c>
      <c r="B18" s="13" t="inlineStr">
        <is>
          <t>Export Revenue Report Excel</t>
        </is>
      </c>
      <c r="C18" s="13" t="inlineStr">
        <is>
          <t>Revenue &amp; Analytics</t>
        </is>
      </c>
      <c r="D18" s="13" t="inlineStr">
        <is>
          <t>Download xlsx from filtered view. Matches on-screen totals.</t>
        </is>
      </c>
      <c r="E18" s="13" t="inlineStr">
        <is>
          <t>KhoaNNCE181612</t>
        </is>
      </c>
      <c r="F18" s="14" t="inlineStr">
        <is>
          <t>To Do</t>
        </is>
      </c>
      <c r="G18" s="13" t="n"/>
      <c r="H18" s="13" t="n"/>
      <c r="I18" s="13" t="n"/>
      <c r="J18" s="15">
        <f>IF(L18="Simple",60,IF(L18="Medium",120,240))*IF(M18="Low",50%,IF(M18="Medium",75%,100%))</f>
        <v/>
      </c>
      <c r="K18" s="13" t="n"/>
      <c r="L18" s="13" t="inlineStr">
        <is>
          <t>Medium</t>
        </is>
      </c>
      <c r="M18" s="13" t="inlineStr">
        <is>
          <t>High</t>
        </is>
      </c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2.75" customHeight="1" s="27">
      <c r="A19" s="9">
        <f>ROW()-4</f>
        <v/>
      </c>
      <c r="B19" s="13" t="inlineStr">
        <is>
          <t>Branch List</t>
        </is>
      </c>
      <c r="C19" s="13" t="inlineStr">
        <is>
          <t>Branch Locator</t>
        </is>
      </c>
      <c r="D19" s="13" t="inlineStr">
        <is>
          <t>Addresses, hours, phone. Link to detail.</t>
        </is>
      </c>
      <c r="E19" s="13" t="inlineStr">
        <is>
          <t>KhoaNNCE181612</t>
        </is>
      </c>
      <c r="F19" s="14" t="inlineStr">
        <is>
          <t>To Do</t>
        </is>
      </c>
      <c r="G19" s="13" t="n"/>
      <c r="H19" s="13" t="n"/>
      <c r="I19" s="13" t="n"/>
      <c r="J19" s="15">
        <f>IF(L19="Simple",60,IF(L19="Medium",120,240))*IF(M19="Low",50%,IF(M19="Medium",75%,100%))</f>
        <v/>
      </c>
      <c r="K19" s="13" t="n"/>
      <c r="L19" s="13" t="inlineStr">
        <is>
          <t>Simple</t>
        </is>
      </c>
      <c r="M19" s="13" t="inlineStr">
        <is>
          <t>High</t>
        </is>
      </c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2.75" customHeight="1" s="27">
      <c r="A20" s="9">
        <f>ROW()-4</f>
        <v/>
      </c>
      <c r="B20" s="13" t="inlineStr">
        <is>
          <t>Branch Detail</t>
        </is>
      </c>
      <c r="C20" s="13" t="inlineStr">
        <is>
          <t>Branch Locator</t>
        </is>
      </c>
      <c r="D20" s="13" t="inlineStr">
        <is>
          <t>Map embed and contact. Directions link.</t>
        </is>
      </c>
      <c r="E20" s="13" t="inlineStr">
        <is>
          <t>TruongNTCE180140</t>
        </is>
      </c>
      <c r="F20" s="14" t="inlineStr">
        <is>
          <t>To Do</t>
        </is>
      </c>
      <c r="G20" s="13" t="n"/>
      <c r="H20" s="13" t="n"/>
      <c r="I20" s="13" t="n"/>
      <c r="J20" s="15">
        <f>IF(L20="Simple",60,IF(L20="Medium",120,240))*IF(M20="Low",50%,IF(M20="Medium",75%,100%))</f>
        <v/>
      </c>
      <c r="K20" s="13" t="n"/>
      <c r="L20" s="13" t="inlineStr">
        <is>
          <t>Simple</t>
        </is>
      </c>
      <c r="M20" s="13" t="inlineStr">
        <is>
          <t>High</t>
        </is>
      </c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2.75" customHeight="1" s="27">
      <c r="A21" s="9">
        <f>ROW()-4</f>
        <v/>
      </c>
      <c r="B21" s="13" t="inlineStr">
        <is>
          <t>Branch Map</t>
        </is>
      </c>
      <c r="C21" s="13" t="inlineStr">
        <is>
          <t>Branch Locator</t>
        </is>
      </c>
      <c r="D21" s="13" t="inlineStr">
        <is>
          <t>Markers for all branches. Click marker opens detail.</t>
        </is>
      </c>
      <c r="E21" s="13" t="inlineStr">
        <is>
          <t>ThangNDCE180608</t>
        </is>
      </c>
      <c r="F21" s="14" t="inlineStr">
        <is>
          <t>To Do</t>
        </is>
      </c>
      <c r="G21" s="13" t="n"/>
      <c r="H21" s="13" t="n"/>
      <c r="I21" s="13" t="n"/>
      <c r="J21" s="15">
        <f>IF(L21="Simple",60,IF(L21="Medium",120,240))*IF(M21="Low",50%,IF(M21="Medium",75%,100%))</f>
        <v/>
      </c>
      <c r="K21" s="13" t="n"/>
      <c r="L21" s="13" t="inlineStr">
        <is>
          <t>Simple</t>
        </is>
      </c>
      <c r="M21" s="13" t="inlineStr">
        <is>
          <t>High</t>
        </is>
      </c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2.75" customHeight="1" s="27">
      <c r="A22" s="25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2.75" customHeight="1" s="27">
      <c r="A23" s="25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2.75" customHeight="1" s="27">
      <c r="A24" s="25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2.75" customHeight="1" s="27">
      <c r="A25" s="25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2.75" customHeight="1" s="27">
      <c r="A26" s="25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2.75" customHeight="1" s="27">
      <c r="A27" s="2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2.75" customHeight="1" s="27">
      <c r="A28" s="25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2.75" customHeight="1" s="27">
      <c r="A29" s="25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2.75" customHeight="1" s="27">
      <c r="A30" s="25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2.75" customHeight="1" s="27">
      <c r="A31" s="25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2.75" customHeight="1" s="27">
      <c r="A32" s="25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2.75" customHeight="1" s="27">
      <c r="A33" s="25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2.75" customHeight="1" s="27">
      <c r="A34" s="25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2.75" customHeight="1" s="27">
      <c r="A35" s="25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2.75" customHeight="1" s="27">
      <c r="A36" s="25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2.75" customHeight="1" s="27">
      <c r="A37" s="25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2.75" customHeight="1" s="27">
      <c r="A38" s="25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2.75" customHeight="1" s="27">
      <c r="A39" s="25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2.75" customHeight="1" s="27">
      <c r="A40" s="25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2.75" customHeight="1" s="27">
      <c r="A41" s="25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2.75" customHeight="1" s="27">
      <c r="A42" s="25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2.75" customHeight="1" s="27">
      <c r="A43" s="25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2.75" customHeight="1" s="27">
      <c r="A44" s="25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2.75" customHeight="1" s="27">
      <c r="A45" s="25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2.75" customHeight="1" s="27">
      <c r="A46" s="25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2.75" customHeight="1" s="27">
      <c r="A47" s="25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2.75" customHeight="1" s="27">
      <c r="A48" s="25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2.75" customHeight="1" s="27">
      <c r="A49" s="25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2.75" customHeight="1" s="27">
      <c r="A50" s="25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2.75" customHeight="1" s="27">
      <c r="A51" s="25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2.75" customHeight="1" s="27">
      <c r="A52" s="25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2.75" customHeight="1" s="27">
      <c r="A53" s="25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2.75" customHeight="1" s="27">
      <c r="A54" s="25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2.75" customHeight="1" s="27">
      <c r="A55" s="25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2.75" customHeight="1" s="27">
      <c r="A56" s="25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2.75" customHeight="1" s="27">
      <c r="A57" s="25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2.75" customHeight="1" s="27">
      <c r="A58" s="25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2.75" customHeight="1" s="27">
      <c r="A59" s="25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2.75" customHeight="1" s="27">
      <c r="A60" s="25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2.75" customHeight="1" s="27">
      <c r="A61" s="25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2.75" customHeight="1" s="27">
      <c r="A62" s="25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2.75" customHeight="1" s="27">
      <c r="A63" s="25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2.75" customHeight="1" s="27">
      <c r="A64" s="25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2.75" customHeight="1" s="27">
      <c r="A65" s="25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2.75" customHeight="1" s="27">
      <c r="A66" s="25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2.75" customHeight="1" s="27">
      <c r="A67" s="25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2.75" customHeight="1" s="27">
      <c r="A68" s="25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2.75" customHeight="1" s="27">
      <c r="A69" s="25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2.75" customHeight="1" s="27">
      <c r="A70" s="25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2.75" customHeight="1" s="27">
      <c r="A71" s="25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2.75" customHeight="1" s="27">
      <c r="A72" s="25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2.75" customHeight="1" s="27">
      <c r="A73" s="25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2.75" customHeight="1" s="27">
      <c r="A74" s="25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2.75" customHeight="1" s="27">
      <c r="A75" s="25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2.75" customHeight="1" s="27">
      <c r="A76" s="25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2.75" customHeight="1" s="27">
      <c r="A77" s="25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2.75" customHeight="1" s="27">
      <c r="A78" s="25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2.75" customHeight="1" s="27">
      <c r="A79" s="25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2.75" customHeight="1" s="27">
      <c r="A80" s="25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2.75" customHeight="1" s="27">
      <c r="A81" s="25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2.75" customHeight="1" s="27">
      <c r="A82" s="25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2.75" customHeight="1" s="27">
      <c r="A83" s="25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2.75" customHeight="1" s="27">
      <c r="A84" s="25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2.75" customHeight="1" s="27">
      <c r="A85" s="25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2.75" customHeight="1" s="27">
      <c r="A86" s="25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2.75" customHeight="1" s="27">
      <c r="A87" s="25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2.75" customHeight="1" s="27">
      <c r="A88" s="25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2.75" customHeight="1" s="27">
      <c r="A89" s="25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2.75" customHeight="1" s="27">
      <c r="A90" s="25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2.75" customHeight="1" s="27">
      <c r="A91" s="25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2.75" customHeight="1" s="27">
      <c r="A92" s="25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2.75" customHeight="1" s="27">
      <c r="A93" s="25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2.75" customHeight="1" s="27">
      <c r="A94" s="25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2.75" customHeight="1" s="27">
      <c r="A95" s="25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2.75" customHeight="1" s="27">
      <c r="A96" s="25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2.75" customHeight="1" s="27">
      <c r="A97" s="25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2.75" customHeight="1" s="27">
      <c r="A98" s="25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2.75" customHeight="1" s="27">
      <c r="A99" s="25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2.75" customHeight="1" s="27">
      <c r="A100" s="25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2.75" customHeight="1" s="27">
      <c r="A101" s="25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2.75" customHeight="1" s="27">
      <c r="A102" s="25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2.75" customHeight="1" s="27">
      <c r="A103" s="25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2.75" customHeight="1" s="27">
      <c r="A104" s="25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2.75" customHeight="1" s="27">
      <c r="A105" s="25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2.75" customHeight="1" s="27">
      <c r="A106" s="25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2.75" customHeight="1" s="27">
      <c r="A107" s="25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2.75" customHeight="1" s="27">
      <c r="A108" s="25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2.75" customHeight="1" s="27">
      <c r="A109" s="25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2.75" customHeight="1" s="27">
      <c r="A110" s="25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2.75" customHeight="1" s="27">
      <c r="A111" s="25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2.75" customHeight="1" s="27">
      <c r="A112" s="25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2.75" customHeight="1" s="27">
      <c r="A113" s="25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2.75" customHeight="1" s="27">
      <c r="A114" s="25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2.75" customHeight="1" s="27">
      <c r="A115" s="25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2.75" customHeight="1" s="27">
      <c r="A116" s="25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2.75" customHeight="1" s="27">
      <c r="A117" s="25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2.75" customHeight="1" s="27">
      <c r="A118" s="25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2.75" customHeight="1" s="27">
      <c r="A119" s="25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2.75" customHeight="1" s="27">
      <c r="A120" s="25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2.75" customHeight="1" s="27">
      <c r="A121" s="25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2.75" customHeight="1" s="27">
      <c r="A122" s="25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2.75" customHeight="1" s="27">
      <c r="A123" s="25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2.75" customHeight="1" s="27">
      <c r="A124" s="25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2.75" customHeight="1" s="27">
      <c r="A125" s="25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2.75" customHeight="1" s="27">
      <c r="A126" s="25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2.75" customHeight="1" s="27">
      <c r="A127" s="25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2.75" customHeight="1" s="27">
      <c r="A128" s="25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2.75" customHeight="1" s="27">
      <c r="A129" s="25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2.75" customHeight="1" s="27">
      <c r="A130" s="25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2.75" customHeight="1" s="27">
      <c r="A131" s="25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2.75" customHeight="1" s="27">
      <c r="A132" s="25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2.75" customHeight="1" s="27">
      <c r="A133" s="25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2.75" customHeight="1" s="27">
      <c r="A134" s="25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2.75" customHeight="1" s="27">
      <c r="A135" s="25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2.75" customHeight="1" s="27">
      <c r="A136" s="25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2.75" customHeight="1" s="27">
      <c r="A137" s="25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2.75" customHeight="1" s="27">
      <c r="A138" s="25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2.75" customHeight="1" s="27">
      <c r="A139" s="25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2.75" customHeight="1" s="27">
      <c r="A140" s="25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2.75" customHeight="1" s="27">
      <c r="A141" s="25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2.75" customHeight="1" s="27">
      <c r="A142" s="25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2.75" customHeight="1" s="27">
      <c r="A143" s="25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2.75" customHeight="1" s="27">
      <c r="A144" s="25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2.75" customHeight="1" s="27">
      <c r="A145" s="25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2.75" customHeight="1" s="27">
      <c r="A146" s="25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2.75" customHeight="1" s="27">
      <c r="A147" s="25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2.75" customHeight="1" s="27">
      <c r="A148" s="25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2.75" customHeight="1" s="27">
      <c r="A149" s="25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2.75" customHeight="1" s="27">
      <c r="A150" s="25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2.75" customHeight="1" s="27">
      <c r="A151" s="25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2.75" customHeight="1" s="27">
      <c r="A152" s="25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2.75" customHeight="1" s="27">
      <c r="A153" s="25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2.75" customHeight="1" s="27">
      <c r="A154" s="25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2.75" customHeight="1" s="27">
      <c r="A155" s="25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2.75" customHeight="1" s="27">
      <c r="A156" s="25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2.75" customHeight="1" s="27">
      <c r="A157" s="25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2.75" customHeight="1" s="27">
      <c r="A158" s="25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2.75" customHeight="1" s="27">
      <c r="A159" s="25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2.75" customHeight="1" s="27">
      <c r="A160" s="25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2.75" customHeight="1" s="27">
      <c r="A161" s="25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2.75" customHeight="1" s="27">
      <c r="A162" s="25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2.75" customHeight="1" s="27">
      <c r="A163" s="25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2.75" customHeight="1" s="27">
      <c r="A164" s="25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2.75" customHeight="1" s="27">
      <c r="A165" s="25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2.75" customHeight="1" s="27">
      <c r="A166" s="25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2.75" customHeight="1" s="27">
      <c r="A167" s="25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2.75" customHeight="1" s="27">
      <c r="A168" s="25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2.75" customHeight="1" s="27">
      <c r="A169" s="25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2.75" customHeight="1" s="27">
      <c r="A170" s="25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2.75" customHeight="1" s="27">
      <c r="A171" s="25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2.75" customHeight="1" s="27">
      <c r="A172" s="25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2.75" customHeight="1" s="27">
      <c r="A173" s="25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2.75" customHeight="1" s="27">
      <c r="A174" s="25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2.75" customHeight="1" s="27">
      <c r="A175" s="25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2.75" customHeight="1" s="27">
      <c r="A176" s="25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2.75" customHeight="1" s="27">
      <c r="A177" s="25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2.75" customHeight="1" s="27">
      <c r="A178" s="25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2.75" customHeight="1" s="27">
      <c r="A179" s="25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2.75" customHeight="1" s="27">
      <c r="A180" s="25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2.75" customHeight="1" s="27">
      <c r="A181" s="25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2.75" customHeight="1" s="27">
      <c r="A182" s="25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2.75" customHeight="1" s="27">
      <c r="A183" s="25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2.75" customHeight="1" s="27">
      <c r="A184" s="25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2.75" customHeight="1" s="27">
      <c r="A185" s="25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2.75" customHeight="1" s="27">
      <c r="A186" s="25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2.75" customHeight="1" s="27">
      <c r="A187" s="25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2.75" customHeight="1" s="27">
      <c r="A188" s="25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2.75" customHeight="1" s="27">
      <c r="A189" s="25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2.75" customHeight="1" s="27">
      <c r="A190" s="25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2.75" customHeight="1" s="27">
      <c r="A191" s="25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2.75" customHeight="1" s="27">
      <c r="A192" s="25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2.75" customHeight="1" s="27">
      <c r="A193" s="25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2.75" customHeight="1" s="27">
      <c r="A194" s="25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2.75" customHeight="1" s="27">
      <c r="A195" s="25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2.75" customHeight="1" s="27">
      <c r="A196" s="25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2.75" customHeight="1" s="27">
      <c r="A197" s="25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2.75" customHeight="1" s="27">
      <c r="A198" s="25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2.75" customHeight="1" s="27">
      <c r="A199" s="25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2.75" customHeight="1" s="27">
      <c r="A200" s="25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2.75" customHeight="1" s="27">
      <c r="A201" s="25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2.75" customHeight="1" s="27">
      <c r="A202" s="25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2.75" customHeight="1" s="27">
      <c r="A203" s="25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2.75" customHeight="1" s="27">
      <c r="A204" s="25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2.75" customHeight="1" s="27">
      <c r="A205" s="25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2.75" customHeight="1" s="27">
      <c r="A206" s="25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2.75" customHeight="1" s="27">
      <c r="A207" s="25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2.75" customHeight="1" s="27">
      <c r="A208" s="25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2.75" customHeight="1" s="27">
      <c r="A209" s="25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2.75" customHeight="1" s="27">
      <c r="A210" s="25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2.75" customHeight="1" s="27">
      <c r="A211" s="25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2.75" customHeight="1" s="27">
      <c r="A212" s="25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2.75" customHeight="1" s="27">
      <c r="A213" s="25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2.75" customHeight="1" s="27">
      <c r="A214" s="25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2.75" customHeight="1" s="27">
      <c r="A215" s="25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2.75" customHeight="1" s="27">
      <c r="A216" s="25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2.75" customHeight="1" s="27">
      <c r="A217" s="25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2.75" customHeight="1" s="27">
      <c r="A218" s="25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2.75" customHeight="1" s="27">
      <c r="A219" s="25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2.75" customHeight="1" s="27">
      <c r="A220" s="25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2.75" customHeight="1" s="27">
      <c r="A221" s="25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2.75" customHeight="1" s="27">
      <c r="A222" s="25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2.75" customHeight="1" s="27">
      <c r="A223" s="25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2.75" customHeight="1" s="27">
      <c r="A224" s="25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2.75" customHeight="1" s="27">
      <c r="A225" s="25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2.75" customHeight="1" s="27">
      <c r="A226" s="25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2.75" customHeight="1" s="27">
      <c r="A227" s="25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2.75" customHeight="1" s="27">
      <c r="A228" s="25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2.75" customHeight="1" s="27">
      <c r="A229" s="25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2.75" customHeight="1" s="27">
      <c r="A230" s="25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2.75" customHeight="1" s="27">
      <c r="A231" s="25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2.75" customHeight="1" s="27">
      <c r="A232" s="25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2.75" customHeight="1" s="27">
      <c r="A233" s="25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2.75" customHeight="1" s="27">
      <c r="A234" s="25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2.75" customHeight="1" s="27">
      <c r="A235" s="25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2.75" customHeight="1" s="27">
      <c r="A236" s="25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2.75" customHeight="1" s="27">
      <c r="A237" s="25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2.75" customHeight="1" s="27">
      <c r="A238" s="25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2.75" customHeight="1" s="27">
      <c r="A239" s="25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2.75" customHeight="1" s="27">
      <c r="A240" s="25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2.75" customHeight="1" s="27">
      <c r="A241" s="25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2.75" customHeight="1" s="27">
      <c r="A242" s="25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2.75" customHeight="1" s="27">
      <c r="A243" s="25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2.75" customHeight="1" s="27">
      <c r="A244" s="25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2.75" customHeight="1" s="27">
      <c r="A245" s="25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2.75" customHeight="1" s="27">
      <c r="A246" s="25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2.75" customHeight="1" s="27">
      <c r="A247" s="25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2.75" customHeight="1" s="27">
      <c r="A248" s="25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2.75" customHeight="1" s="27">
      <c r="A249" s="25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2.75" customHeight="1" s="27">
      <c r="A250" s="25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2.75" customHeight="1" s="27">
      <c r="A251" s="25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2.75" customHeight="1" s="27">
      <c r="A252" s="25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2.75" customHeight="1" s="27">
      <c r="A253" s="25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2.75" customHeight="1" s="27">
      <c r="A254" s="25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2.75" customHeight="1" s="27">
      <c r="A255" s="25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2.75" customHeight="1" s="27">
      <c r="A256" s="25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2.75" customHeight="1" s="27">
      <c r="A257" s="25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2.75" customHeight="1" s="27">
      <c r="A258" s="25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2.75" customHeight="1" s="27">
      <c r="A259" s="25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2.75" customHeight="1" s="27">
      <c r="A260" s="25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2.75" customHeight="1" s="27">
      <c r="A261" s="25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2.75" customHeight="1" s="27">
      <c r="A262" s="25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2.75" customHeight="1" s="27">
      <c r="A263" s="25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2.75" customHeight="1" s="27">
      <c r="A264" s="25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2.75" customHeight="1" s="27">
      <c r="A265" s="25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2.75" customHeight="1" s="27">
      <c r="A266" s="25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2.75" customHeight="1" s="27">
      <c r="A267" s="25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2.75" customHeight="1" s="27">
      <c r="A268" s="25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2.75" customHeight="1" s="27">
      <c r="A269" s="25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2.75" customHeight="1" s="27">
      <c r="A270" s="25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2.75" customHeight="1" s="27">
      <c r="A271" s="25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2.75" customHeight="1" s="27">
      <c r="A272" s="25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2.75" customHeight="1" s="27">
      <c r="A273" s="25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2.75" customHeight="1" s="27">
      <c r="A274" s="25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2.75" customHeight="1" s="27">
      <c r="A275" s="25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2.75" customHeight="1" s="27">
      <c r="A276" s="25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2.75" customHeight="1" s="27">
      <c r="A277" s="25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2.75" customHeight="1" s="27">
      <c r="A278" s="25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2.75" customHeight="1" s="27">
      <c r="A279" s="25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2.75" customHeight="1" s="27">
      <c r="A280" s="25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2.75" customHeight="1" s="27">
      <c r="A281" s="25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2.75" customHeight="1" s="27">
      <c r="A282" s="25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2.75" customHeight="1" s="27">
      <c r="A283" s="25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2.75" customHeight="1" s="27">
      <c r="A284" s="25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2.75" customHeight="1" s="27">
      <c r="A285" s="25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2.75" customHeight="1" s="27">
      <c r="A286" s="25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2.75" customHeight="1" s="27">
      <c r="A287" s="25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2.75" customHeight="1" s="27">
      <c r="A288" s="25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2.75" customHeight="1" s="27">
      <c r="A289" s="25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2.75" customHeight="1" s="27">
      <c r="A290" s="25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2.75" customHeight="1" s="27">
      <c r="A291" s="25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2.75" customHeight="1" s="27">
      <c r="A292" s="25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2.75" customHeight="1" s="27">
      <c r="A293" s="25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2.75" customHeight="1" s="27">
      <c r="A294" s="25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2.75" customHeight="1" s="27">
      <c r="A295" s="25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2.75" customHeight="1" s="27">
      <c r="A296" s="25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2.75" customHeight="1" s="27">
      <c r="A297" s="25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2.75" customHeight="1" s="27">
      <c r="A298" s="25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2.75" customHeight="1" s="27">
      <c r="A299" s="25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2.75" customHeight="1" s="27">
      <c r="A300" s="25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2.75" customHeight="1" s="27">
      <c r="A301" s="25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2.75" customHeight="1" s="27">
      <c r="A302" s="25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2.75" customHeight="1" s="27">
      <c r="A303" s="25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2.75" customHeight="1" s="27">
      <c r="A304" s="25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2.75" customHeight="1" s="27">
      <c r="A305" s="25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2.75" customHeight="1" s="27">
      <c r="A306" s="25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2.75" customHeight="1" s="27">
      <c r="A307" s="25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2.75" customHeight="1" s="27">
      <c r="A308" s="25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2.75" customHeight="1" s="27">
      <c r="A309" s="25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2.75" customHeight="1" s="27">
      <c r="A310" s="25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2.75" customHeight="1" s="27">
      <c r="A311" s="25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2.75" customHeight="1" s="27">
      <c r="A312" s="25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2.75" customHeight="1" s="27">
      <c r="A313" s="25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2.75" customHeight="1" s="27">
      <c r="A314" s="25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2.75" customHeight="1" s="27">
      <c r="A315" s="25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2.75" customHeight="1" s="27">
      <c r="A316" s="25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2.75" customHeight="1" s="27">
      <c r="A317" s="25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2.75" customHeight="1" s="27">
      <c r="A318" s="25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2.75" customHeight="1" s="27">
      <c r="A319" s="25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2.75" customHeight="1" s="27">
      <c r="A320" s="25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2.75" customHeight="1" s="27">
      <c r="A321" s="25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2.75" customHeight="1" s="27">
      <c r="A322" s="25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2.75" customHeight="1" s="27">
      <c r="A323" s="25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2.75" customHeight="1" s="27">
      <c r="A324" s="25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2.75" customHeight="1" s="27">
      <c r="A325" s="25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2.75" customHeight="1" s="27">
      <c r="A326" s="25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2.75" customHeight="1" s="27">
      <c r="A327" s="25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2.75" customHeight="1" s="27">
      <c r="A328" s="25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2.75" customHeight="1" s="27">
      <c r="A329" s="25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2.75" customHeight="1" s="27">
      <c r="A330" s="25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2.75" customHeight="1" s="27">
      <c r="A331" s="25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2.75" customHeight="1" s="27">
      <c r="A332" s="25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2.75" customHeight="1" s="27">
      <c r="A333" s="25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2.75" customHeight="1" s="27">
      <c r="A334" s="25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2.75" customHeight="1" s="27">
      <c r="A335" s="25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2.75" customHeight="1" s="27">
      <c r="A336" s="25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2.75" customHeight="1" s="27">
      <c r="A337" s="25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2.75" customHeight="1" s="27">
      <c r="A338" s="25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2.75" customHeight="1" s="27">
      <c r="A339" s="25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2.75" customHeight="1" s="27">
      <c r="A340" s="25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2.75" customHeight="1" s="27">
      <c r="A341" s="25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2.75" customHeight="1" s="27">
      <c r="A342" s="25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2.75" customHeight="1" s="27">
      <c r="A343" s="25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2.75" customHeight="1" s="27">
      <c r="A344" s="25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2.75" customHeight="1" s="27">
      <c r="A345" s="25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2.75" customHeight="1" s="27">
      <c r="A346" s="25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2.75" customHeight="1" s="27">
      <c r="A347" s="25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2.75" customHeight="1" s="27">
      <c r="A348" s="25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2.75" customHeight="1" s="27">
      <c r="A349" s="25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2.75" customHeight="1" s="27">
      <c r="A350" s="25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2.75" customHeight="1" s="27">
      <c r="A351" s="25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2.75" customHeight="1" s="27">
      <c r="A352" s="25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2.75" customHeight="1" s="27">
      <c r="A353" s="25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2.75" customHeight="1" s="27">
      <c r="A354" s="25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2.75" customHeight="1" s="27">
      <c r="A355" s="25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2.75" customHeight="1" s="27">
      <c r="A356" s="25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2.75" customHeight="1" s="27">
      <c r="A357" s="25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2.75" customHeight="1" s="27">
      <c r="A358" s="25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2.75" customHeight="1" s="27">
      <c r="A359" s="25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2.75" customHeight="1" s="27">
      <c r="A360" s="25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2.75" customHeight="1" s="27">
      <c r="A361" s="25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2.75" customHeight="1" s="27">
      <c r="A362" s="25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2.75" customHeight="1" s="27">
      <c r="A363" s="25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2.75" customHeight="1" s="27">
      <c r="A364" s="25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2.75" customHeight="1" s="27">
      <c r="A365" s="25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2.75" customHeight="1" s="27">
      <c r="A366" s="25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2.75" customHeight="1" s="27">
      <c r="A367" s="25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2.75" customHeight="1" s="27">
      <c r="A368" s="25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2.75" customHeight="1" s="27">
      <c r="A369" s="25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2.75" customHeight="1" s="27">
      <c r="A370" s="25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2.75" customHeight="1" s="27">
      <c r="A371" s="25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2.75" customHeight="1" s="27">
      <c r="A372" s="25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2.75" customHeight="1" s="27">
      <c r="A373" s="25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2.75" customHeight="1" s="27">
      <c r="A374" s="25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2.75" customHeight="1" s="27">
      <c r="A375" s="25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2.75" customHeight="1" s="27">
      <c r="A376" s="25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2.75" customHeight="1" s="27">
      <c r="A377" s="25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2.75" customHeight="1" s="27">
      <c r="A378" s="25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2.75" customHeight="1" s="27">
      <c r="A379" s="25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2.75" customHeight="1" s="27">
      <c r="A380" s="25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2.75" customHeight="1" s="27">
      <c r="A381" s="25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2.75" customHeight="1" s="27">
      <c r="A382" s="25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2.75" customHeight="1" s="27">
      <c r="A383" s="25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2.75" customHeight="1" s="27">
      <c r="A384" s="25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2.75" customHeight="1" s="27">
      <c r="A385" s="25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2.75" customHeight="1" s="27">
      <c r="A386" s="25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2.75" customHeight="1" s="27">
      <c r="A387" s="25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2.75" customHeight="1" s="27">
      <c r="A388" s="25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2.75" customHeight="1" s="27">
      <c r="A389" s="25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2.75" customHeight="1" s="27">
      <c r="A390" s="25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2.75" customHeight="1" s="27">
      <c r="A391" s="25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2.75" customHeight="1" s="27">
      <c r="A392" s="25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2.75" customHeight="1" s="27">
      <c r="A393" s="25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2.75" customHeight="1" s="27">
      <c r="A394" s="25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2.75" customHeight="1" s="27">
      <c r="A395" s="25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2.75" customHeight="1" s="27">
      <c r="A396" s="25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2.75" customHeight="1" s="27">
      <c r="A397" s="25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2.75" customHeight="1" s="27">
      <c r="A398" s="25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2.75" customHeight="1" s="27">
      <c r="A399" s="25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2.75" customHeight="1" s="27">
      <c r="A400" s="25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2.75" customHeight="1" s="27">
      <c r="A401" s="25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2.75" customHeight="1" s="27">
      <c r="A402" s="25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2.75" customHeight="1" s="27">
      <c r="A403" s="25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2.75" customHeight="1" s="27">
      <c r="A404" s="25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2.75" customHeight="1" s="27">
      <c r="A405" s="25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2.75" customHeight="1" s="27">
      <c r="A406" s="25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2.75" customHeight="1" s="27">
      <c r="A407" s="25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2.75" customHeight="1" s="27">
      <c r="A408" s="25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2.75" customHeight="1" s="27">
      <c r="A409" s="25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2.75" customHeight="1" s="27">
      <c r="A410" s="25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2.75" customHeight="1" s="27">
      <c r="A411" s="25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2.75" customHeight="1" s="27">
      <c r="A412" s="25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2.75" customHeight="1" s="27">
      <c r="A413" s="25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2.75" customHeight="1" s="27">
      <c r="A414" s="25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2.75" customHeight="1" s="27">
      <c r="A415" s="25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2.75" customHeight="1" s="27">
      <c r="A416" s="25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2.75" customHeight="1" s="27">
      <c r="A417" s="25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2.75" customHeight="1" s="27">
      <c r="A418" s="25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2.75" customHeight="1" s="27">
      <c r="A419" s="25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2.75" customHeight="1" s="27">
      <c r="A420" s="25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2.75" customHeight="1" s="27">
      <c r="A421" s="25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2.75" customHeight="1" s="27">
      <c r="A422" s="25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2.75" customHeight="1" s="27">
      <c r="A423" s="25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2.75" customHeight="1" s="27">
      <c r="A424" s="25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2.75" customHeight="1" s="27">
      <c r="A425" s="25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2.75" customHeight="1" s="27">
      <c r="A426" s="25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2.75" customHeight="1" s="27">
      <c r="A427" s="25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2.75" customHeight="1" s="27">
      <c r="A428" s="25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2.75" customHeight="1" s="27">
      <c r="A429" s="25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2.75" customHeight="1" s="27">
      <c r="A430" s="25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2.75" customHeight="1" s="27">
      <c r="A431" s="25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2.75" customHeight="1" s="27">
      <c r="A432" s="25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2.75" customHeight="1" s="27">
      <c r="A433" s="25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2.75" customHeight="1" s="27">
      <c r="A434" s="25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2.75" customHeight="1" s="27">
      <c r="A435" s="25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2.75" customHeight="1" s="27">
      <c r="A436" s="25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2.75" customHeight="1" s="27">
      <c r="A437" s="25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2.75" customHeight="1" s="27">
      <c r="A438" s="25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2.75" customHeight="1" s="27">
      <c r="A439" s="25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2.75" customHeight="1" s="27">
      <c r="A440" s="25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2.75" customHeight="1" s="27">
      <c r="A441" s="25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2.75" customHeight="1" s="27">
      <c r="A442" s="25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2.75" customHeight="1" s="27">
      <c r="A443" s="25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2.75" customHeight="1" s="27">
      <c r="A444" s="25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2.75" customHeight="1" s="27">
      <c r="A445" s="25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2.75" customHeight="1" s="27">
      <c r="A446" s="25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2.75" customHeight="1" s="27">
      <c r="A447" s="25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2.75" customHeight="1" s="27">
      <c r="A448" s="25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2.75" customHeight="1" s="27">
      <c r="A449" s="25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2.75" customHeight="1" s="27">
      <c r="A450" s="25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2.75" customHeight="1" s="27">
      <c r="A451" s="25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2.75" customHeight="1" s="27">
      <c r="A452" s="25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2.75" customHeight="1" s="27">
      <c r="A453" s="25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2.75" customHeight="1" s="27">
      <c r="A454" s="25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2.75" customHeight="1" s="27">
      <c r="A455" s="25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2.75" customHeight="1" s="27">
      <c r="A456" s="25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2.75" customHeight="1" s="27">
      <c r="A457" s="25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2.75" customHeight="1" s="27">
      <c r="A458" s="25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2.75" customHeight="1" s="27">
      <c r="A459" s="25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2.75" customHeight="1" s="27">
      <c r="A460" s="25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2.75" customHeight="1" s="27">
      <c r="A461" s="25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2.75" customHeight="1" s="27">
      <c r="A462" s="25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2.75" customHeight="1" s="27">
      <c r="A463" s="25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2.75" customHeight="1" s="27">
      <c r="A464" s="25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2.75" customHeight="1" s="27">
      <c r="A465" s="25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2.75" customHeight="1" s="27">
      <c r="A466" s="25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2.75" customHeight="1" s="27">
      <c r="A467" s="25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2.75" customHeight="1" s="27">
      <c r="A468" s="25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2.75" customHeight="1" s="27">
      <c r="A469" s="25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2.75" customHeight="1" s="27">
      <c r="A470" s="25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2.75" customHeight="1" s="27">
      <c r="A471" s="25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2.75" customHeight="1" s="27">
      <c r="A472" s="25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2.75" customHeight="1" s="27">
      <c r="A473" s="25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2.75" customHeight="1" s="27">
      <c r="A474" s="25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2.75" customHeight="1" s="27">
      <c r="A475" s="25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2.75" customHeight="1" s="27">
      <c r="A476" s="25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2.75" customHeight="1" s="27">
      <c r="A477" s="25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2.75" customHeight="1" s="27">
      <c r="A478" s="25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2.75" customHeight="1" s="27">
      <c r="A479" s="25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2.75" customHeight="1" s="27">
      <c r="A480" s="25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2.75" customHeight="1" s="27">
      <c r="A481" s="25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2.75" customHeight="1" s="27">
      <c r="A482" s="25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2.75" customHeight="1" s="27">
      <c r="A483" s="25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2.75" customHeight="1" s="27">
      <c r="A484" s="25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2.75" customHeight="1" s="27">
      <c r="A485" s="25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2.75" customHeight="1" s="27">
      <c r="A486" s="25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2.75" customHeight="1" s="27">
      <c r="A487" s="25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2.75" customHeight="1" s="27">
      <c r="A488" s="25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2.75" customHeight="1" s="27">
      <c r="A489" s="25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2.75" customHeight="1" s="27">
      <c r="A490" s="25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2.75" customHeight="1" s="27">
      <c r="A491" s="25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2.75" customHeight="1" s="27">
      <c r="A492" s="25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2.75" customHeight="1" s="27">
      <c r="A493" s="25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2.75" customHeight="1" s="27">
      <c r="A494" s="25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2.75" customHeight="1" s="27">
      <c r="A495" s="25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2.75" customHeight="1" s="27">
      <c r="A496" s="25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2.75" customHeight="1" s="27">
      <c r="A497" s="25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2.75" customHeight="1" s="27">
      <c r="A498" s="25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2.75" customHeight="1" s="27">
      <c r="A499" s="25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2.75" customHeight="1" s="27">
      <c r="A500" s="25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2.75" customHeight="1" s="27">
      <c r="A501" s="25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2.75" customHeight="1" s="27">
      <c r="A502" s="25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2.75" customHeight="1" s="27">
      <c r="A503" s="25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2.75" customHeight="1" s="27">
      <c r="A504" s="25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2.75" customHeight="1" s="27">
      <c r="A505" s="25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2.75" customHeight="1" s="27">
      <c r="A506" s="25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2.75" customHeight="1" s="27">
      <c r="A507" s="25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2.75" customHeight="1" s="27">
      <c r="A508" s="25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2.75" customHeight="1" s="27">
      <c r="A509" s="25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2.75" customHeight="1" s="27">
      <c r="A510" s="25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2.75" customHeight="1" s="27">
      <c r="A511" s="25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2.75" customHeight="1" s="27">
      <c r="A512" s="25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2.75" customHeight="1" s="27">
      <c r="A513" s="25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2.75" customHeight="1" s="27">
      <c r="A514" s="25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2.75" customHeight="1" s="27">
      <c r="A515" s="25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2.75" customHeight="1" s="27">
      <c r="A516" s="25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2.75" customHeight="1" s="27">
      <c r="A517" s="25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2.75" customHeight="1" s="27">
      <c r="A518" s="25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2.75" customHeight="1" s="27">
      <c r="A519" s="25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2.75" customHeight="1" s="27">
      <c r="A520" s="25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2.75" customHeight="1" s="27">
      <c r="A521" s="25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2.75" customHeight="1" s="27">
      <c r="A522" s="25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2.75" customHeight="1" s="27">
      <c r="A523" s="25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2.75" customHeight="1" s="27">
      <c r="A524" s="25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2.75" customHeight="1" s="27">
      <c r="A525" s="25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2.75" customHeight="1" s="27">
      <c r="A526" s="25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2.75" customHeight="1" s="27">
      <c r="A527" s="25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2.75" customHeight="1" s="27">
      <c r="A528" s="25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2.75" customHeight="1" s="27">
      <c r="A529" s="25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2.75" customHeight="1" s="27">
      <c r="A530" s="25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2.75" customHeight="1" s="27">
      <c r="A531" s="25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2.75" customHeight="1" s="27">
      <c r="A532" s="25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2.75" customHeight="1" s="27">
      <c r="A533" s="25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2.75" customHeight="1" s="27">
      <c r="A534" s="25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2.75" customHeight="1" s="27">
      <c r="A535" s="25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2.75" customHeight="1" s="27">
      <c r="A536" s="25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2.75" customHeight="1" s="27">
      <c r="A537" s="25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2.75" customHeight="1" s="27">
      <c r="A538" s="25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2.75" customHeight="1" s="27">
      <c r="A539" s="25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2.75" customHeight="1" s="27">
      <c r="A540" s="25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2.75" customHeight="1" s="27">
      <c r="A541" s="25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2.75" customHeight="1" s="27">
      <c r="A542" s="25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2.75" customHeight="1" s="27">
      <c r="A543" s="25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2.75" customHeight="1" s="27">
      <c r="A544" s="25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2.75" customHeight="1" s="27">
      <c r="A545" s="25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2.75" customHeight="1" s="27">
      <c r="A546" s="25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2.75" customHeight="1" s="27">
      <c r="A547" s="25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2.75" customHeight="1" s="27">
      <c r="A548" s="25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2.75" customHeight="1" s="27">
      <c r="A549" s="25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2.75" customHeight="1" s="27">
      <c r="A550" s="25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2.75" customHeight="1" s="27">
      <c r="A551" s="25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2.75" customHeight="1" s="27">
      <c r="A552" s="25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2.75" customHeight="1" s="27">
      <c r="A553" s="25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2.75" customHeight="1" s="27">
      <c r="A554" s="25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2.75" customHeight="1" s="27">
      <c r="A555" s="25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2.75" customHeight="1" s="27">
      <c r="A556" s="25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2.75" customHeight="1" s="27">
      <c r="A557" s="25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2.75" customHeight="1" s="27">
      <c r="A558" s="25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2.75" customHeight="1" s="27">
      <c r="A559" s="25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2.75" customHeight="1" s="27">
      <c r="A560" s="25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2.75" customHeight="1" s="27">
      <c r="A561" s="25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2.75" customHeight="1" s="27">
      <c r="A562" s="25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2.75" customHeight="1" s="27">
      <c r="A563" s="25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2.75" customHeight="1" s="27">
      <c r="A564" s="25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2.75" customHeight="1" s="27">
      <c r="A565" s="25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2.75" customHeight="1" s="27">
      <c r="A566" s="25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2.75" customHeight="1" s="27">
      <c r="A567" s="25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2.75" customHeight="1" s="27">
      <c r="A568" s="25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2.75" customHeight="1" s="27">
      <c r="A569" s="25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2.75" customHeight="1" s="27">
      <c r="A570" s="25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2.75" customHeight="1" s="27">
      <c r="A571" s="25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2.75" customHeight="1" s="27">
      <c r="A572" s="25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2.75" customHeight="1" s="27">
      <c r="A573" s="25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2.75" customHeight="1" s="27">
      <c r="A574" s="25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2.75" customHeight="1" s="27">
      <c r="A575" s="25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2.75" customHeight="1" s="27">
      <c r="A576" s="25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2.75" customHeight="1" s="27">
      <c r="A577" s="25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2.75" customHeight="1" s="27">
      <c r="A578" s="25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2.75" customHeight="1" s="27">
      <c r="A579" s="25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2.75" customHeight="1" s="27">
      <c r="A580" s="25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2.75" customHeight="1" s="27">
      <c r="A581" s="25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2.75" customHeight="1" s="27">
      <c r="A582" s="25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2.75" customHeight="1" s="27">
      <c r="A583" s="25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2.75" customHeight="1" s="27">
      <c r="A584" s="25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2.75" customHeight="1" s="27">
      <c r="A585" s="25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2.75" customHeight="1" s="27">
      <c r="A586" s="25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2.75" customHeight="1" s="27">
      <c r="A587" s="25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2.75" customHeight="1" s="27">
      <c r="A588" s="25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2.75" customHeight="1" s="27">
      <c r="A589" s="25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2.75" customHeight="1" s="27">
      <c r="A590" s="25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2.75" customHeight="1" s="27">
      <c r="A591" s="25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2.75" customHeight="1" s="27">
      <c r="A592" s="25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2.75" customHeight="1" s="27">
      <c r="A593" s="25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2.75" customHeight="1" s="27">
      <c r="A594" s="25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2.75" customHeight="1" s="27">
      <c r="A595" s="25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2.75" customHeight="1" s="27">
      <c r="A596" s="25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2.75" customHeight="1" s="27">
      <c r="A597" s="25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2.75" customHeight="1" s="27">
      <c r="A598" s="25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2.75" customHeight="1" s="27">
      <c r="A599" s="25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2.75" customHeight="1" s="27">
      <c r="A600" s="25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2.75" customHeight="1" s="27">
      <c r="A601" s="25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2.75" customHeight="1" s="27">
      <c r="A602" s="25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2.75" customHeight="1" s="27">
      <c r="A603" s="25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2.75" customHeight="1" s="27">
      <c r="A604" s="25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2.75" customHeight="1" s="27">
      <c r="A605" s="25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2.75" customHeight="1" s="27">
      <c r="A606" s="25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2.75" customHeight="1" s="27">
      <c r="A607" s="25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2.75" customHeight="1" s="27">
      <c r="A608" s="25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2.75" customHeight="1" s="27">
      <c r="A609" s="25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2.75" customHeight="1" s="27">
      <c r="A610" s="25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2.75" customHeight="1" s="27">
      <c r="A611" s="25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2.75" customHeight="1" s="27">
      <c r="A612" s="25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2.75" customHeight="1" s="27">
      <c r="A613" s="25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2.75" customHeight="1" s="27">
      <c r="A614" s="25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2.75" customHeight="1" s="27">
      <c r="A615" s="25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2.75" customHeight="1" s="27">
      <c r="A616" s="25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2.75" customHeight="1" s="27">
      <c r="A617" s="25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2.75" customHeight="1" s="27">
      <c r="A618" s="25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2.75" customHeight="1" s="27">
      <c r="A619" s="25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2.75" customHeight="1" s="27">
      <c r="A620" s="25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2.75" customHeight="1" s="27">
      <c r="A621" s="25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2.75" customHeight="1" s="27">
      <c r="A622" s="25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2.75" customHeight="1" s="27">
      <c r="A623" s="25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2.75" customHeight="1" s="27">
      <c r="A624" s="25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2.75" customHeight="1" s="27">
      <c r="A625" s="25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2.75" customHeight="1" s="27">
      <c r="A626" s="25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2.75" customHeight="1" s="27">
      <c r="A627" s="25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2.75" customHeight="1" s="27">
      <c r="A628" s="25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2.75" customHeight="1" s="27">
      <c r="A629" s="25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2.75" customHeight="1" s="27">
      <c r="A630" s="25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2.75" customHeight="1" s="27">
      <c r="A631" s="25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2.75" customHeight="1" s="27">
      <c r="A632" s="25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2.75" customHeight="1" s="27">
      <c r="A633" s="25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2.75" customHeight="1" s="27">
      <c r="A634" s="25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2.75" customHeight="1" s="27">
      <c r="A635" s="25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2.75" customHeight="1" s="27">
      <c r="A636" s="25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2.75" customHeight="1" s="27">
      <c r="A637" s="25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2.75" customHeight="1" s="27">
      <c r="A638" s="25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2.75" customHeight="1" s="27">
      <c r="A639" s="25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2.75" customHeight="1" s="27">
      <c r="A640" s="25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2.75" customHeight="1" s="27">
      <c r="A641" s="25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2.75" customHeight="1" s="27">
      <c r="A642" s="25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2.75" customHeight="1" s="27">
      <c r="A643" s="25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2.75" customHeight="1" s="27">
      <c r="A644" s="25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2.75" customHeight="1" s="27">
      <c r="A645" s="25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2.75" customHeight="1" s="27">
      <c r="A646" s="25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2.75" customHeight="1" s="27">
      <c r="A647" s="25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2.75" customHeight="1" s="27">
      <c r="A648" s="25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2.75" customHeight="1" s="27">
      <c r="A649" s="25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2.75" customHeight="1" s="27">
      <c r="A650" s="25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2.75" customHeight="1" s="27">
      <c r="A651" s="25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2.75" customHeight="1" s="27">
      <c r="A652" s="25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2.75" customHeight="1" s="27">
      <c r="A653" s="25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2.75" customHeight="1" s="27">
      <c r="A654" s="25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2.75" customHeight="1" s="27">
      <c r="A655" s="25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2.75" customHeight="1" s="27">
      <c r="A656" s="25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2.75" customHeight="1" s="27">
      <c r="A657" s="25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2.75" customHeight="1" s="27">
      <c r="A658" s="25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2.75" customHeight="1" s="27">
      <c r="A659" s="25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2.75" customHeight="1" s="27">
      <c r="A660" s="25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2.75" customHeight="1" s="27">
      <c r="A661" s="25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2.75" customHeight="1" s="27">
      <c r="A662" s="25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2.75" customHeight="1" s="27">
      <c r="A663" s="25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2.75" customHeight="1" s="27">
      <c r="A664" s="25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2.75" customHeight="1" s="27">
      <c r="A665" s="25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2.75" customHeight="1" s="27">
      <c r="A666" s="25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2.75" customHeight="1" s="27">
      <c r="A667" s="25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2.75" customHeight="1" s="27">
      <c r="A668" s="25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2.75" customHeight="1" s="27">
      <c r="A669" s="25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2.75" customHeight="1" s="27">
      <c r="A670" s="25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2.75" customHeight="1" s="27">
      <c r="A671" s="25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2.75" customHeight="1" s="27">
      <c r="A672" s="25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2.75" customHeight="1" s="27">
      <c r="A673" s="25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2.75" customHeight="1" s="27">
      <c r="A674" s="25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2.75" customHeight="1" s="27">
      <c r="A675" s="25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2.75" customHeight="1" s="27">
      <c r="A676" s="25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2.75" customHeight="1" s="27">
      <c r="A677" s="25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2.75" customHeight="1" s="27">
      <c r="A678" s="25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2.75" customHeight="1" s="27">
      <c r="A679" s="25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2.75" customHeight="1" s="27">
      <c r="A680" s="25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2.75" customHeight="1" s="27">
      <c r="A681" s="25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2.75" customHeight="1" s="27">
      <c r="A682" s="25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2.75" customHeight="1" s="27">
      <c r="A683" s="25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2.75" customHeight="1" s="27">
      <c r="A684" s="25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2.75" customHeight="1" s="27">
      <c r="A685" s="25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2.75" customHeight="1" s="27">
      <c r="A686" s="25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2.75" customHeight="1" s="27">
      <c r="A687" s="25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2.75" customHeight="1" s="27">
      <c r="A688" s="25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2.75" customHeight="1" s="27">
      <c r="A689" s="25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2.75" customHeight="1" s="27">
      <c r="A690" s="25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2.75" customHeight="1" s="27">
      <c r="A691" s="25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2.75" customHeight="1" s="27">
      <c r="A692" s="25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2.75" customHeight="1" s="27">
      <c r="A693" s="25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2.75" customHeight="1" s="27">
      <c r="A694" s="25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2.75" customHeight="1" s="27">
      <c r="A695" s="25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2.75" customHeight="1" s="27">
      <c r="A696" s="25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2.75" customHeight="1" s="27">
      <c r="A697" s="25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2.75" customHeight="1" s="27">
      <c r="A698" s="25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2.75" customHeight="1" s="27">
      <c r="A699" s="25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2.75" customHeight="1" s="27">
      <c r="A700" s="25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2.75" customHeight="1" s="27">
      <c r="A701" s="25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2.75" customHeight="1" s="27">
      <c r="A702" s="25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2.75" customHeight="1" s="27">
      <c r="A703" s="25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2.75" customHeight="1" s="27">
      <c r="A704" s="25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2.75" customHeight="1" s="27">
      <c r="A705" s="25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2.75" customHeight="1" s="27">
      <c r="A706" s="25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2.75" customHeight="1" s="27">
      <c r="A707" s="25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2.75" customHeight="1" s="27">
      <c r="A708" s="25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2.75" customHeight="1" s="27">
      <c r="A709" s="25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2.75" customHeight="1" s="27">
      <c r="A710" s="25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2.75" customHeight="1" s="27">
      <c r="A711" s="25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2.75" customHeight="1" s="27">
      <c r="A712" s="25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2.75" customHeight="1" s="27">
      <c r="A713" s="25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2.75" customHeight="1" s="27">
      <c r="A714" s="25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2.75" customHeight="1" s="27">
      <c r="A715" s="25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2.75" customHeight="1" s="27">
      <c r="A716" s="25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2.75" customHeight="1" s="27">
      <c r="A717" s="25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2.75" customHeight="1" s="27">
      <c r="A718" s="25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2.75" customHeight="1" s="27">
      <c r="A719" s="25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2.75" customHeight="1" s="27">
      <c r="A720" s="25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2.75" customHeight="1" s="27">
      <c r="A721" s="25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2.75" customHeight="1" s="27">
      <c r="A722" s="25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2.75" customHeight="1" s="27">
      <c r="A723" s="25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2.75" customHeight="1" s="27">
      <c r="A724" s="25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2.75" customHeight="1" s="27">
      <c r="A725" s="25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2.75" customHeight="1" s="27">
      <c r="A726" s="25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2.75" customHeight="1" s="27">
      <c r="A727" s="25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2.75" customHeight="1" s="27">
      <c r="A728" s="25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2.75" customHeight="1" s="27">
      <c r="A729" s="25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2.75" customHeight="1" s="27">
      <c r="A730" s="25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2.75" customHeight="1" s="27">
      <c r="A731" s="25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2.75" customHeight="1" s="27">
      <c r="A732" s="25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2.75" customHeight="1" s="27">
      <c r="A733" s="25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2.75" customHeight="1" s="27">
      <c r="A734" s="25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2.75" customHeight="1" s="27">
      <c r="A735" s="25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2.75" customHeight="1" s="27">
      <c r="A736" s="25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2.75" customHeight="1" s="27">
      <c r="A737" s="25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2.75" customHeight="1" s="27">
      <c r="A738" s="25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2.75" customHeight="1" s="27">
      <c r="A739" s="25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2.75" customHeight="1" s="27">
      <c r="A740" s="25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2.75" customHeight="1" s="27">
      <c r="A741" s="25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2.75" customHeight="1" s="27">
      <c r="A742" s="25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2.75" customHeight="1" s="27">
      <c r="A743" s="25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2.75" customHeight="1" s="27">
      <c r="A744" s="25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2.75" customHeight="1" s="27">
      <c r="A745" s="25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2.75" customHeight="1" s="27">
      <c r="A746" s="25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2.75" customHeight="1" s="27">
      <c r="A747" s="25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2.75" customHeight="1" s="27">
      <c r="A748" s="25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2.75" customHeight="1" s="27">
      <c r="A749" s="25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2.75" customHeight="1" s="27">
      <c r="A750" s="25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2.75" customHeight="1" s="27">
      <c r="A751" s="25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2.75" customHeight="1" s="27">
      <c r="A752" s="25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2.75" customHeight="1" s="27">
      <c r="A753" s="25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2.75" customHeight="1" s="27">
      <c r="A754" s="25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2.75" customHeight="1" s="27">
      <c r="A755" s="25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2.75" customHeight="1" s="27">
      <c r="A756" s="25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2.75" customHeight="1" s="27">
      <c r="A757" s="25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2.75" customHeight="1" s="27">
      <c r="A758" s="25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2.75" customHeight="1" s="27">
      <c r="A759" s="25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2.75" customHeight="1" s="27">
      <c r="A760" s="25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2.75" customHeight="1" s="27">
      <c r="A761" s="25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2.75" customHeight="1" s="27">
      <c r="A762" s="25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2.75" customHeight="1" s="27">
      <c r="A763" s="25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2.75" customHeight="1" s="27">
      <c r="A764" s="25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2.75" customHeight="1" s="27">
      <c r="A765" s="25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2.75" customHeight="1" s="27">
      <c r="A766" s="25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2.75" customHeight="1" s="27">
      <c r="A767" s="25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2.75" customHeight="1" s="27">
      <c r="A768" s="25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2.75" customHeight="1" s="27">
      <c r="A769" s="25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2.75" customHeight="1" s="27">
      <c r="A770" s="25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2.75" customHeight="1" s="27">
      <c r="A771" s="25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2.75" customHeight="1" s="27">
      <c r="A772" s="25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2.75" customHeight="1" s="27">
      <c r="A773" s="25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2.75" customHeight="1" s="27">
      <c r="A774" s="25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2.75" customHeight="1" s="27">
      <c r="A775" s="25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2.75" customHeight="1" s="27">
      <c r="A776" s="25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2.75" customHeight="1" s="27">
      <c r="A777" s="25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2.75" customHeight="1" s="27">
      <c r="A778" s="25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2.75" customHeight="1" s="27">
      <c r="A779" s="25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2.75" customHeight="1" s="27">
      <c r="A780" s="25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2.75" customHeight="1" s="27">
      <c r="A781" s="25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2.75" customHeight="1" s="27">
      <c r="A782" s="25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2.75" customHeight="1" s="27">
      <c r="A783" s="25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2.75" customHeight="1" s="27">
      <c r="A784" s="25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2.75" customHeight="1" s="27">
      <c r="A785" s="25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2.75" customHeight="1" s="27">
      <c r="A786" s="25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2.75" customHeight="1" s="27">
      <c r="A787" s="25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2.75" customHeight="1" s="27">
      <c r="A788" s="25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2.75" customHeight="1" s="27">
      <c r="A789" s="25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2.75" customHeight="1" s="27">
      <c r="A790" s="25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2.75" customHeight="1" s="27">
      <c r="A791" s="25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2.75" customHeight="1" s="27">
      <c r="A792" s="25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2.75" customHeight="1" s="27">
      <c r="A793" s="25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2.75" customHeight="1" s="27">
      <c r="A794" s="25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2.75" customHeight="1" s="27">
      <c r="A795" s="25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2.75" customHeight="1" s="27">
      <c r="A796" s="25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2.75" customHeight="1" s="27">
      <c r="A797" s="25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2.75" customHeight="1" s="27">
      <c r="A798" s="25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2.75" customHeight="1" s="27">
      <c r="A799" s="25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2.75" customHeight="1" s="27">
      <c r="A800" s="25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2.75" customHeight="1" s="27">
      <c r="A801" s="25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2.75" customHeight="1" s="27">
      <c r="A802" s="25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2.75" customHeight="1" s="27">
      <c r="A803" s="25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2.75" customHeight="1" s="27">
      <c r="A804" s="25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2.75" customHeight="1" s="27">
      <c r="A805" s="25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2.75" customHeight="1" s="27">
      <c r="A806" s="25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2.75" customHeight="1" s="27">
      <c r="A807" s="25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2.75" customHeight="1" s="27">
      <c r="A808" s="25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2.75" customHeight="1" s="27">
      <c r="A809" s="25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2.75" customHeight="1" s="27">
      <c r="A810" s="25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2.75" customHeight="1" s="27">
      <c r="A811" s="25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2.75" customHeight="1" s="27">
      <c r="A812" s="25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2.75" customHeight="1" s="27">
      <c r="A813" s="25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2.75" customHeight="1" s="27">
      <c r="A814" s="25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2.75" customHeight="1" s="27">
      <c r="A815" s="25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2.75" customHeight="1" s="27">
      <c r="A816" s="25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2.75" customHeight="1" s="27">
      <c r="A817" s="25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2.75" customHeight="1" s="27">
      <c r="A818" s="25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2.75" customHeight="1" s="27">
      <c r="A819" s="25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2.75" customHeight="1" s="27">
      <c r="A820" s="25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2.75" customHeight="1" s="27">
      <c r="A821" s="25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2.75" customHeight="1" s="27">
      <c r="A822" s="25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2.75" customHeight="1" s="27">
      <c r="A823" s="25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2.75" customHeight="1" s="27">
      <c r="A824" s="25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2.75" customHeight="1" s="27">
      <c r="A825" s="25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2.75" customHeight="1" s="27">
      <c r="A826" s="25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2.75" customHeight="1" s="27">
      <c r="A827" s="25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2.75" customHeight="1" s="27">
      <c r="A828" s="25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2.75" customHeight="1" s="27">
      <c r="A829" s="25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2.75" customHeight="1" s="27">
      <c r="A830" s="25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2.75" customHeight="1" s="27">
      <c r="A831" s="25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2.75" customHeight="1" s="27">
      <c r="A832" s="25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2.75" customHeight="1" s="27">
      <c r="A833" s="25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2.75" customHeight="1" s="27">
      <c r="A834" s="25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2.75" customHeight="1" s="27">
      <c r="A835" s="25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2.75" customHeight="1" s="27">
      <c r="A836" s="25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2.75" customHeight="1" s="27">
      <c r="A837" s="25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2.75" customHeight="1" s="27">
      <c r="A838" s="25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2.75" customHeight="1" s="27">
      <c r="A839" s="25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2.75" customHeight="1" s="27">
      <c r="A840" s="25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2.75" customHeight="1" s="27">
      <c r="A841" s="25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2.75" customHeight="1" s="27">
      <c r="A842" s="25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2.75" customHeight="1" s="27">
      <c r="A843" s="25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2.75" customHeight="1" s="27">
      <c r="A844" s="25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2.75" customHeight="1" s="27">
      <c r="A845" s="25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2.75" customHeight="1" s="27">
      <c r="A846" s="25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2.75" customHeight="1" s="27">
      <c r="A847" s="25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2.75" customHeight="1" s="27">
      <c r="A848" s="25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2.75" customHeight="1" s="27">
      <c r="A849" s="25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2.75" customHeight="1" s="27">
      <c r="A850" s="25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2.75" customHeight="1" s="27">
      <c r="A851" s="25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2.75" customHeight="1" s="27">
      <c r="A852" s="25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2.75" customHeight="1" s="27">
      <c r="A853" s="25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2.75" customHeight="1" s="27">
      <c r="A854" s="25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2.75" customHeight="1" s="27">
      <c r="A855" s="25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2.75" customHeight="1" s="27">
      <c r="A856" s="25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2.75" customHeight="1" s="27">
      <c r="A857" s="25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2.75" customHeight="1" s="27">
      <c r="A858" s="25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2.75" customHeight="1" s="27">
      <c r="A859" s="25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2.75" customHeight="1" s="27">
      <c r="A860" s="25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2.75" customHeight="1" s="27">
      <c r="A861" s="25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2.75" customHeight="1" s="27">
      <c r="A862" s="25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2.75" customHeight="1" s="27">
      <c r="A863" s="25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2.75" customHeight="1" s="27">
      <c r="A864" s="25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2.75" customHeight="1" s="27">
      <c r="A865" s="25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2.75" customHeight="1" s="27">
      <c r="A866" s="25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2.75" customHeight="1" s="27">
      <c r="A867" s="25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2.75" customHeight="1" s="27">
      <c r="A868" s="25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2.75" customHeight="1" s="27">
      <c r="A869" s="25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2.75" customHeight="1" s="27">
      <c r="A870" s="25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2.75" customHeight="1" s="27">
      <c r="A871" s="25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2.75" customHeight="1" s="27">
      <c r="A872" s="25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2.75" customHeight="1" s="27">
      <c r="A873" s="25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2.75" customHeight="1" s="27">
      <c r="A874" s="25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2.75" customHeight="1" s="27">
      <c r="A875" s="25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2.75" customHeight="1" s="27">
      <c r="A876" s="25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2.75" customHeight="1" s="27">
      <c r="A877" s="25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2.75" customHeight="1" s="27">
      <c r="A878" s="25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2.75" customHeight="1" s="27">
      <c r="A879" s="25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2.75" customHeight="1" s="27">
      <c r="A880" s="25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2.75" customHeight="1" s="27">
      <c r="A881" s="25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2.75" customHeight="1" s="27">
      <c r="A882" s="25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2.75" customHeight="1" s="27">
      <c r="A883" s="25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2.75" customHeight="1" s="27">
      <c r="A884" s="25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2.75" customHeight="1" s="27">
      <c r="A885" s="25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</sheetData>
  <dataValidations count="3">
    <dataValidation sqref="L5:L21" showDropDown="0" showInputMessage="0" showErrorMessage="1" allowBlank="1" type="list">
      <formula1>"Simple,Medium,Complex"</formula1>
    </dataValidation>
    <dataValidation sqref="M5:M21" showDropDown="0" showInputMessage="0" showErrorMessage="1" allowBlank="1" type="list">
      <formula1>"Low,Medium,High"</formula1>
    </dataValidation>
    <dataValidation sqref="F5:F21" showDropDown="0" showInputMessage="0" showErrorMessage="1" allowBlank="1" type="list">
      <formula1>"To Do,Doing,Done"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KienNT</dc:creator>
  <dcterms:created xmlns:dcterms="http://purl.org/dc/terms/" xmlns:xsi="http://www.w3.org/2001/XMLSchema-instance" xsi:type="dcterms:W3CDTF">2021-07-20T01:09:05Z</dcterms:created>
  <dcterms:modified xmlns:dcterms="http://purl.org/dc/terms/" xmlns:xsi="http://www.w3.org/2001/XMLSchema-instance" xsi:type="dcterms:W3CDTF">2026-05-20T01:53:17Z</dcterms:modified>
</cp:coreProperties>
</file>